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guimiento Tesis\Ensayos\Estimación de vida útil\IRI\DATOS\"/>
    </mc:Choice>
  </mc:AlternateContent>
  <xr:revisionPtr revIDLastSave="0" documentId="13_ncr:1_{D54167FD-E1D7-4C11-8B6F-6A7C149E1EE1}" xr6:coauthVersionLast="47" xr6:coauthVersionMax="47" xr10:uidLastSave="{00000000-0000-0000-0000-000000000000}"/>
  <bookViews>
    <workbookView xWindow="-120" yWindow="-120" windowWidth="29040" windowHeight="16440" xr2:uid="{F25F251E-C1BB-4D57-9E28-70A442411B14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4" i="1" l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3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<sst xmlns="http://schemas.openxmlformats.org/spreadsheetml/2006/main" count="112" uniqueCount="16">
  <si>
    <t>Segment_ID</t>
  </si>
  <si>
    <t>Start_km</t>
  </si>
  <si>
    <t>End_km</t>
  </si>
  <si>
    <t>IRI_m_per_km</t>
  </si>
  <si>
    <t>eIRI</t>
  </si>
  <si>
    <t>cIRI</t>
  </si>
  <si>
    <t>RCdec</t>
  </si>
  <si>
    <t>Speed_kmh</t>
  </si>
  <si>
    <t>Progresiva_m</t>
  </si>
  <si>
    <t>Elevacion_m</t>
  </si>
  <si>
    <t>Codigo_Via</t>
  </si>
  <si>
    <t>Latitude</t>
  </si>
  <si>
    <t>Longitude</t>
  </si>
  <si>
    <t>Device_ID</t>
  </si>
  <si>
    <t>PE-26 / HV-114</t>
  </si>
  <si>
    <t>RDROID2025X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</si>
</sst>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80922-B0E6-4201-A720-7D92717509CF}">
  <dimension ref="A1:N50"/>
  <sheetViews>
    <sheetView tabSelected="1" workbookViewId="0">
      <selection activeCell="A50" sqref="A2:A50"/>
    </sheetView>
  </sheetViews>
  <sheetFormatPr baseColWidth="10" defaultRowHeight="15" x14ac:dyDescent="0.25"/>
  <cols>
    <col min="9" max="9" width="13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>
        <v>1</v>
      </c>
      <c r="B2">
        <v>0</v>
      </c>
      <c r="C2">
        <v>1</v>
      </c>
      <c r="D2">
        <v>3.37</v>
      </c>
      <c r="E2">
        <v>3.64</v>
      </c>
      <c r="F2">
        <v>3.5</v>
      </c>
      <c r="G2" t="str">
        <f>+IF(D2&lt;2,"Excelente",IF(D2&lt;4,"Bueno",IF(D2&lt;6,"Regular",IF(D2&lt;8,"Deficiente","Crítico"))))</f>
        <v>Bueno</v>
      </c>
      <c r="H2">
        <v>53.3</v>
      </c>
      <c r="I2" s="2">
        <v>72000</v>
      </c>
      <c r="J2">
        <v>3670</v>
      </c>
      <c r="K2" t="s">
        <v>14</v>
      </c>
      <c r="L2">
        <v>-12.690134</v>
      </c>
      <c r="M2">
        <v>-74.934398000000002</v>
      </c>
      <c r="N2" t="s">
        <v>15</v>
      </c>
    </row>
    <row r="3" spans="1:14" x14ac:dyDescent="0.25">
      <c r="A3">
        <f>1+A2</f>
        <v>2</v>
      </c>
      <c r="B3">
        <v>1</v>
      </c>
      <c r="C3">
        <v>2</v>
      </c>
      <c r="D3">
        <v>2.2799999999999998</v>
      </c>
      <c r="E3">
        <v>2.0099999999999998</v>
      </c>
      <c r="F3">
        <v>2.14</v>
      </c>
      <c r="G3" t="str">
        <f t="shared" ref="G3:G50" si="0">+IF(D3&lt;2,"Excelente",IF(D3&lt;4,"Bueno",IF(D3&lt;6,"Regular",IF(D3&lt;8,"Deficiente","Crítico"))))</f>
        <v>Bueno</v>
      </c>
      <c r="H3">
        <v>56.7</v>
      </c>
      <c r="I3" s="2">
        <v>71000</v>
      </c>
      <c r="J3">
        <v>3661</v>
      </c>
      <c r="K3" t="s">
        <v>14</v>
      </c>
      <c r="L3">
        <v>-12.689888</v>
      </c>
      <c r="M3">
        <v>-74.879193000000001</v>
      </c>
      <c r="N3" t="s">
        <v>15</v>
      </c>
    </row>
    <row r="4" spans="1:14" x14ac:dyDescent="0.25">
      <c r="A4">
        <f t="shared" ref="A4:A50" si="1">1+A3</f>
        <v>3</v>
      </c>
      <c r="B4">
        <v>2</v>
      </c>
      <c r="C4">
        <v>3</v>
      </c>
      <c r="D4">
        <v>1.6</v>
      </c>
      <c r="E4">
        <v>1.88</v>
      </c>
      <c r="F4">
        <v>1.74</v>
      </c>
      <c r="G4" t="str">
        <f t="shared" si="0"/>
        <v>Excelente</v>
      </c>
      <c r="H4">
        <v>55.8</v>
      </c>
      <c r="I4" s="2">
        <v>70000</v>
      </c>
      <c r="J4">
        <v>3652</v>
      </c>
      <c r="K4" t="s">
        <v>14</v>
      </c>
      <c r="L4">
        <v>-12.728766</v>
      </c>
      <c r="M4">
        <v>-74.931818000000007</v>
      </c>
      <c r="N4" t="s">
        <v>15</v>
      </c>
    </row>
    <row r="5" spans="1:14" x14ac:dyDescent="0.25">
      <c r="A5">
        <f t="shared" si="1"/>
        <v>4</v>
      </c>
      <c r="B5">
        <v>3</v>
      </c>
      <c r="C5">
        <v>4</v>
      </c>
      <c r="D5">
        <v>2.42</v>
      </c>
      <c r="E5">
        <v>2.2999999999999998</v>
      </c>
      <c r="F5">
        <v>2.36</v>
      </c>
      <c r="G5" t="str">
        <f t="shared" si="0"/>
        <v>Bueno</v>
      </c>
      <c r="H5">
        <v>48.1</v>
      </c>
      <c r="I5" s="2">
        <v>69000</v>
      </c>
      <c r="J5">
        <v>3643</v>
      </c>
      <c r="K5" t="s">
        <v>14</v>
      </c>
      <c r="L5">
        <v>-12.706804999999999</v>
      </c>
      <c r="M5">
        <v>-74.920877000000004</v>
      </c>
      <c r="N5" t="s">
        <v>15</v>
      </c>
    </row>
    <row r="6" spans="1:14" x14ac:dyDescent="0.25">
      <c r="A6">
        <f t="shared" si="1"/>
        <v>5</v>
      </c>
      <c r="B6">
        <v>4</v>
      </c>
      <c r="C6">
        <v>5</v>
      </c>
      <c r="D6">
        <v>4.5599999999999996</v>
      </c>
      <c r="E6">
        <v>4.34</v>
      </c>
      <c r="F6">
        <v>4.45</v>
      </c>
      <c r="G6" t="str">
        <f t="shared" si="0"/>
        <v>Regular</v>
      </c>
      <c r="H6">
        <v>42.3</v>
      </c>
      <c r="I6" s="2">
        <v>68000</v>
      </c>
      <c r="J6">
        <v>3635</v>
      </c>
      <c r="K6" t="s">
        <v>14</v>
      </c>
      <c r="L6">
        <v>-12.713364</v>
      </c>
      <c r="M6">
        <v>-74.904392999999999</v>
      </c>
      <c r="N6" t="s">
        <v>15</v>
      </c>
    </row>
    <row r="7" spans="1:14" x14ac:dyDescent="0.25">
      <c r="A7">
        <f t="shared" si="1"/>
        <v>6</v>
      </c>
      <c r="B7">
        <v>5</v>
      </c>
      <c r="C7">
        <v>6</v>
      </c>
      <c r="D7">
        <v>5.43</v>
      </c>
      <c r="E7">
        <v>5.25</v>
      </c>
      <c r="F7">
        <v>5.34</v>
      </c>
      <c r="G7" t="str">
        <f t="shared" si="0"/>
        <v>Regular</v>
      </c>
      <c r="H7">
        <v>47.9</v>
      </c>
      <c r="I7" s="2">
        <v>67000</v>
      </c>
      <c r="J7">
        <v>3626</v>
      </c>
      <c r="K7" t="s">
        <v>14</v>
      </c>
      <c r="L7">
        <v>-12.690759</v>
      </c>
      <c r="M7">
        <v>-74.945355000000006</v>
      </c>
      <c r="N7" t="s">
        <v>15</v>
      </c>
    </row>
    <row r="8" spans="1:14" x14ac:dyDescent="0.25">
      <c r="A8">
        <f t="shared" si="1"/>
        <v>7</v>
      </c>
      <c r="B8">
        <v>6</v>
      </c>
      <c r="C8">
        <v>7</v>
      </c>
      <c r="D8">
        <v>4.54</v>
      </c>
      <c r="E8">
        <v>4.34</v>
      </c>
      <c r="F8">
        <v>4.4400000000000004</v>
      </c>
      <c r="G8" t="str">
        <f t="shared" si="0"/>
        <v>Regular</v>
      </c>
      <c r="H8">
        <v>36.6</v>
      </c>
      <c r="I8" s="2">
        <v>66000</v>
      </c>
      <c r="J8">
        <v>3617</v>
      </c>
      <c r="K8" t="s">
        <v>14</v>
      </c>
      <c r="L8">
        <v>-12.655111</v>
      </c>
      <c r="M8">
        <v>-74.853437</v>
      </c>
      <c r="N8" t="s">
        <v>15</v>
      </c>
    </row>
    <row r="9" spans="1:14" x14ac:dyDescent="0.25">
      <c r="A9">
        <f t="shared" si="1"/>
        <v>8</v>
      </c>
      <c r="B9">
        <v>7</v>
      </c>
      <c r="C9">
        <v>8</v>
      </c>
      <c r="D9">
        <v>5.54</v>
      </c>
      <c r="E9">
        <v>5.42</v>
      </c>
      <c r="F9">
        <v>5.48</v>
      </c>
      <c r="G9" t="str">
        <f t="shared" si="0"/>
        <v>Regular</v>
      </c>
      <c r="H9">
        <v>37.4</v>
      </c>
      <c r="I9" s="2">
        <v>65000</v>
      </c>
      <c r="J9">
        <v>3608</v>
      </c>
      <c r="K9" t="s">
        <v>14</v>
      </c>
      <c r="L9">
        <v>-12.681577000000001</v>
      </c>
      <c r="M9">
        <v>-74.905985000000001</v>
      </c>
      <c r="N9" t="s">
        <v>15</v>
      </c>
    </row>
    <row r="10" spans="1:14" x14ac:dyDescent="0.25">
      <c r="A10">
        <f t="shared" si="1"/>
        <v>9</v>
      </c>
      <c r="B10">
        <v>8</v>
      </c>
      <c r="C10">
        <v>9</v>
      </c>
      <c r="D10">
        <v>2.11</v>
      </c>
      <c r="E10">
        <v>2.11</v>
      </c>
      <c r="F10">
        <v>2.11</v>
      </c>
      <c r="G10" t="str">
        <f t="shared" si="0"/>
        <v>Bueno</v>
      </c>
      <c r="H10">
        <v>35.9</v>
      </c>
      <c r="I10" s="2">
        <v>64000</v>
      </c>
      <c r="J10">
        <v>3600</v>
      </c>
      <c r="K10" t="s">
        <v>14</v>
      </c>
      <c r="L10">
        <v>-12.659068</v>
      </c>
      <c r="M10">
        <v>-74.924121999999997</v>
      </c>
      <c r="N10" t="s">
        <v>15</v>
      </c>
    </row>
    <row r="11" spans="1:14" x14ac:dyDescent="0.25">
      <c r="A11">
        <f t="shared" si="1"/>
        <v>10</v>
      </c>
      <c r="B11">
        <v>9</v>
      </c>
      <c r="C11">
        <v>10</v>
      </c>
      <c r="D11">
        <v>4.8099999999999996</v>
      </c>
      <c r="E11">
        <v>4.7</v>
      </c>
      <c r="F11">
        <v>4.75</v>
      </c>
      <c r="G11" t="str">
        <f t="shared" si="0"/>
        <v>Regular</v>
      </c>
      <c r="H11">
        <v>48</v>
      </c>
      <c r="I11" s="2">
        <v>63000</v>
      </c>
      <c r="J11">
        <v>3591</v>
      </c>
      <c r="K11" t="s">
        <v>14</v>
      </c>
      <c r="L11">
        <v>-12.695328999999999</v>
      </c>
      <c r="M11">
        <v>-74.931515000000005</v>
      </c>
      <c r="N11" t="s">
        <v>15</v>
      </c>
    </row>
    <row r="12" spans="1:14" x14ac:dyDescent="0.25">
      <c r="A12">
        <f t="shared" si="1"/>
        <v>11</v>
      </c>
      <c r="B12">
        <v>10</v>
      </c>
      <c r="C12">
        <v>11</v>
      </c>
      <c r="D12">
        <v>6.35</v>
      </c>
      <c r="E12">
        <v>6.52</v>
      </c>
      <c r="F12">
        <v>6.43</v>
      </c>
      <c r="G12" t="str">
        <f t="shared" si="0"/>
        <v>Deficiente</v>
      </c>
      <c r="H12">
        <v>58.5</v>
      </c>
      <c r="I12" s="2">
        <v>62000</v>
      </c>
      <c r="J12">
        <v>3582</v>
      </c>
      <c r="K12" t="s">
        <v>14</v>
      </c>
      <c r="L12">
        <v>-12.660517</v>
      </c>
      <c r="M12">
        <v>-74.890209999999996</v>
      </c>
      <c r="N12" t="s">
        <v>15</v>
      </c>
    </row>
    <row r="13" spans="1:14" x14ac:dyDescent="0.25">
      <c r="A13">
        <f t="shared" si="1"/>
        <v>12</v>
      </c>
      <c r="B13">
        <v>11</v>
      </c>
      <c r="C13">
        <v>12</v>
      </c>
      <c r="D13">
        <v>6.11</v>
      </c>
      <c r="E13">
        <v>5.86</v>
      </c>
      <c r="F13">
        <v>5.99</v>
      </c>
      <c r="G13" t="str">
        <f t="shared" si="0"/>
        <v>Deficiente</v>
      </c>
      <c r="H13">
        <v>39.9</v>
      </c>
      <c r="I13" s="2">
        <v>61000</v>
      </c>
      <c r="J13">
        <v>3573</v>
      </c>
      <c r="K13" t="s">
        <v>14</v>
      </c>
      <c r="L13">
        <v>-12.745476999999999</v>
      </c>
      <c r="M13">
        <v>-74.917467000000002</v>
      </c>
      <c r="N13" t="s">
        <v>15</v>
      </c>
    </row>
    <row r="14" spans="1:14" x14ac:dyDescent="0.25">
      <c r="A14">
        <f t="shared" si="1"/>
        <v>13</v>
      </c>
      <c r="B14">
        <v>12</v>
      </c>
      <c r="C14">
        <v>13</v>
      </c>
      <c r="D14">
        <v>3.44</v>
      </c>
      <c r="E14">
        <v>3.3</v>
      </c>
      <c r="F14">
        <v>3.37</v>
      </c>
      <c r="G14" t="str">
        <f t="shared" si="0"/>
        <v>Bueno</v>
      </c>
      <c r="H14">
        <v>55.7</v>
      </c>
      <c r="I14" s="2">
        <v>60000</v>
      </c>
      <c r="J14">
        <v>3565</v>
      </c>
      <c r="K14" t="s">
        <v>14</v>
      </c>
      <c r="L14">
        <v>-12.714325000000001</v>
      </c>
      <c r="M14">
        <v>-74.921907000000004</v>
      </c>
      <c r="N14" t="s">
        <v>15</v>
      </c>
    </row>
    <row r="15" spans="1:14" x14ac:dyDescent="0.25">
      <c r="A15">
        <f t="shared" si="1"/>
        <v>14</v>
      </c>
      <c r="B15">
        <v>13</v>
      </c>
      <c r="C15">
        <v>14</v>
      </c>
      <c r="D15">
        <v>4.21</v>
      </c>
      <c r="E15">
        <v>3.99</v>
      </c>
      <c r="F15">
        <v>4.0999999999999996</v>
      </c>
      <c r="G15" t="str">
        <f t="shared" si="0"/>
        <v>Regular</v>
      </c>
      <c r="H15">
        <v>55.1</v>
      </c>
      <c r="I15" s="2">
        <v>59000</v>
      </c>
      <c r="J15">
        <v>3556</v>
      </c>
      <c r="K15" t="s">
        <v>14</v>
      </c>
      <c r="L15">
        <v>-12.742545</v>
      </c>
      <c r="M15">
        <v>-74.851310999999995</v>
      </c>
      <c r="N15" t="s">
        <v>15</v>
      </c>
    </row>
    <row r="16" spans="1:14" x14ac:dyDescent="0.25">
      <c r="A16">
        <f t="shared" si="1"/>
        <v>15</v>
      </c>
      <c r="B16">
        <v>14</v>
      </c>
      <c r="C16">
        <v>15</v>
      </c>
      <c r="D16">
        <v>5.36</v>
      </c>
      <c r="E16">
        <v>5.18</v>
      </c>
      <c r="F16">
        <v>5.27</v>
      </c>
      <c r="G16" t="str">
        <f t="shared" si="0"/>
        <v>Regular</v>
      </c>
      <c r="H16">
        <v>35.1</v>
      </c>
      <c r="I16" s="2">
        <v>58000</v>
      </c>
      <c r="J16">
        <v>3547</v>
      </c>
      <c r="K16" t="s">
        <v>14</v>
      </c>
      <c r="L16">
        <v>-12.668454000000001</v>
      </c>
      <c r="M16">
        <v>-74.879313999999994</v>
      </c>
      <c r="N16" t="s">
        <v>15</v>
      </c>
    </row>
    <row r="17" spans="1:14" x14ac:dyDescent="0.25">
      <c r="A17">
        <f t="shared" si="1"/>
        <v>16</v>
      </c>
      <c r="B17">
        <v>15</v>
      </c>
      <c r="C17">
        <v>16</v>
      </c>
      <c r="D17">
        <v>5.15</v>
      </c>
      <c r="E17">
        <v>5.31</v>
      </c>
      <c r="F17">
        <v>5.23</v>
      </c>
      <c r="G17" t="str">
        <f t="shared" si="0"/>
        <v>Regular</v>
      </c>
      <c r="H17">
        <v>36.9</v>
      </c>
      <c r="I17" s="2">
        <v>57000</v>
      </c>
      <c r="J17">
        <v>3538</v>
      </c>
      <c r="K17" t="s">
        <v>14</v>
      </c>
      <c r="L17">
        <v>-12.714153</v>
      </c>
      <c r="M17">
        <v>-74.938412999999997</v>
      </c>
      <c r="N17" t="s">
        <v>15</v>
      </c>
    </row>
    <row r="18" spans="1:14" x14ac:dyDescent="0.25">
      <c r="A18">
        <f t="shared" si="1"/>
        <v>17</v>
      </c>
      <c r="B18">
        <v>16</v>
      </c>
      <c r="C18">
        <v>17</v>
      </c>
      <c r="D18">
        <v>5.82</v>
      </c>
      <c r="E18">
        <v>5.89</v>
      </c>
      <c r="F18">
        <v>5.86</v>
      </c>
      <c r="G18" t="str">
        <f t="shared" si="0"/>
        <v>Regular</v>
      </c>
      <c r="H18">
        <v>43.3</v>
      </c>
      <c r="I18" s="2">
        <v>56000</v>
      </c>
      <c r="J18">
        <v>3530</v>
      </c>
      <c r="K18" t="s">
        <v>14</v>
      </c>
      <c r="L18">
        <v>-12.743644</v>
      </c>
      <c r="M18">
        <v>-74.918902000000003</v>
      </c>
      <c r="N18" t="s">
        <v>15</v>
      </c>
    </row>
    <row r="19" spans="1:14" x14ac:dyDescent="0.25">
      <c r="A19">
        <f t="shared" si="1"/>
        <v>18</v>
      </c>
      <c r="B19">
        <v>17</v>
      </c>
      <c r="C19">
        <v>18</v>
      </c>
      <c r="D19">
        <v>3.13</v>
      </c>
      <c r="E19">
        <v>3.27</v>
      </c>
      <c r="F19">
        <v>3.2</v>
      </c>
      <c r="G19" t="str">
        <f t="shared" si="0"/>
        <v>Bueno</v>
      </c>
      <c r="H19">
        <v>50.9</v>
      </c>
      <c r="I19" s="2">
        <v>55000</v>
      </c>
      <c r="J19">
        <v>3521</v>
      </c>
      <c r="K19" t="s">
        <v>14</v>
      </c>
      <c r="L19">
        <v>-12.661279</v>
      </c>
      <c r="M19">
        <v>-74.902778999999995</v>
      </c>
      <c r="N19" t="s">
        <v>15</v>
      </c>
    </row>
    <row r="20" spans="1:14" x14ac:dyDescent="0.25">
      <c r="A20">
        <f t="shared" si="1"/>
        <v>19</v>
      </c>
      <c r="B20">
        <v>18</v>
      </c>
      <c r="C20">
        <v>19</v>
      </c>
      <c r="D20">
        <v>2.1</v>
      </c>
      <c r="E20">
        <v>2.23</v>
      </c>
      <c r="F20">
        <v>2.17</v>
      </c>
      <c r="G20" t="str">
        <f t="shared" si="0"/>
        <v>Bueno</v>
      </c>
      <c r="H20">
        <v>54</v>
      </c>
      <c r="I20" s="2">
        <v>54000</v>
      </c>
      <c r="J20">
        <v>3512</v>
      </c>
      <c r="K20" t="s">
        <v>14</v>
      </c>
      <c r="L20">
        <v>-12.693872000000001</v>
      </c>
      <c r="M20">
        <v>-74.872902999999994</v>
      </c>
      <c r="N20" t="s">
        <v>15</v>
      </c>
    </row>
    <row r="21" spans="1:14" x14ac:dyDescent="0.25">
      <c r="A21">
        <f t="shared" si="1"/>
        <v>20</v>
      </c>
      <c r="B21">
        <v>19</v>
      </c>
      <c r="C21">
        <v>20</v>
      </c>
      <c r="D21">
        <v>3.97</v>
      </c>
      <c r="E21">
        <v>3.98</v>
      </c>
      <c r="F21">
        <v>3.98</v>
      </c>
      <c r="G21" t="str">
        <f t="shared" si="0"/>
        <v>Bueno</v>
      </c>
      <c r="H21">
        <v>45.7</v>
      </c>
      <c r="I21" s="2">
        <v>53000</v>
      </c>
      <c r="J21">
        <v>3503</v>
      </c>
      <c r="K21" t="s">
        <v>14</v>
      </c>
      <c r="L21">
        <v>-12.747458</v>
      </c>
      <c r="M21">
        <v>-74.939211</v>
      </c>
      <c r="N21" t="s">
        <v>15</v>
      </c>
    </row>
    <row r="22" spans="1:14" x14ac:dyDescent="0.25">
      <c r="A22">
        <f t="shared" si="1"/>
        <v>21</v>
      </c>
      <c r="B22">
        <v>20</v>
      </c>
      <c r="C22">
        <v>21</v>
      </c>
      <c r="D22">
        <v>2.66</v>
      </c>
      <c r="E22">
        <v>1.74</v>
      </c>
      <c r="F22">
        <v>1.7</v>
      </c>
      <c r="G22" t="str">
        <f t="shared" si="0"/>
        <v>Bueno</v>
      </c>
      <c r="H22">
        <v>42.9</v>
      </c>
      <c r="I22" s="2">
        <v>52000</v>
      </c>
      <c r="J22">
        <v>3495</v>
      </c>
      <c r="K22" t="s">
        <v>14</v>
      </c>
      <c r="L22">
        <v>-12.699142999999999</v>
      </c>
      <c r="M22">
        <v>-74.859243000000006</v>
      </c>
      <c r="N22" t="s">
        <v>15</v>
      </c>
    </row>
    <row r="23" spans="1:14" x14ac:dyDescent="0.25">
      <c r="A23">
        <f t="shared" si="1"/>
        <v>22</v>
      </c>
      <c r="B23">
        <v>21</v>
      </c>
      <c r="C23">
        <v>22</v>
      </c>
      <c r="D23">
        <v>2.75</v>
      </c>
      <c r="E23">
        <v>2.7</v>
      </c>
      <c r="F23">
        <v>2.73</v>
      </c>
      <c r="G23" t="str">
        <f t="shared" si="0"/>
        <v>Bueno</v>
      </c>
      <c r="H23">
        <v>53.9</v>
      </c>
      <c r="I23" s="2">
        <v>51000</v>
      </c>
      <c r="J23">
        <v>3486</v>
      </c>
      <c r="K23" t="s">
        <v>14</v>
      </c>
      <c r="L23">
        <v>-12.727119999999999</v>
      </c>
      <c r="M23">
        <v>-74.942301999999998</v>
      </c>
      <c r="N23" t="s">
        <v>15</v>
      </c>
    </row>
    <row r="24" spans="1:14" x14ac:dyDescent="0.25">
      <c r="A24">
        <f t="shared" si="1"/>
        <v>23</v>
      </c>
      <c r="B24">
        <v>22</v>
      </c>
      <c r="C24">
        <v>23</v>
      </c>
      <c r="D24">
        <v>2.95</v>
      </c>
      <c r="E24">
        <v>2.75</v>
      </c>
      <c r="F24">
        <v>2.85</v>
      </c>
      <c r="G24" t="str">
        <f t="shared" si="0"/>
        <v>Bueno</v>
      </c>
      <c r="H24">
        <v>58.2</v>
      </c>
      <c r="I24" s="2">
        <v>50000</v>
      </c>
      <c r="J24">
        <v>3477</v>
      </c>
      <c r="K24" t="s">
        <v>14</v>
      </c>
      <c r="L24">
        <v>-12.669188</v>
      </c>
      <c r="M24">
        <v>-74.886660000000006</v>
      </c>
      <c r="N24" t="s">
        <v>15</v>
      </c>
    </row>
    <row r="25" spans="1:14" x14ac:dyDescent="0.25">
      <c r="A25">
        <f t="shared" si="1"/>
        <v>24</v>
      </c>
      <c r="B25">
        <v>23</v>
      </c>
      <c r="C25">
        <v>24</v>
      </c>
      <c r="D25">
        <v>5.86</v>
      </c>
      <c r="E25">
        <v>6.04</v>
      </c>
      <c r="F25">
        <v>5.95</v>
      </c>
      <c r="G25" t="str">
        <f t="shared" si="0"/>
        <v>Regular</v>
      </c>
      <c r="H25">
        <v>39.700000000000003</v>
      </c>
      <c r="I25" s="2">
        <v>49000</v>
      </c>
      <c r="J25">
        <v>3468</v>
      </c>
      <c r="K25" t="s">
        <v>14</v>
      </c>
      <c r="L25">
        <v>-12.660743999999999</v>
      </c>
      <c r="M25">
        <v>-74.896066000000005</v>
      </c>
      <c r="N25" t="s">
        <v>15</v>
      </c>
    </row>
    <row r="26" spans="1:14" x14ac:dyDescent="0.25">
      <c r="A26">
        <f t="shared" si="1"/>
        <v>25</v>
      </c>
      <c r="B26">
        <v>24</v>
      </c>
      <c r="C26">
        <v>25</v>
      </c>
      <c r="D26">
        <v>5.54</v>
      </c>
      <c r="E26">
        <v>5.78</v>
      </c>
      <c r="F26">
        <v>5.66</v>
      </c>
      <c r="G26" t="str">
        <f t="shared" si="0"/>
        <v>Regular</v>
      </c>
      <c r="H26">
        <v>43</v>
      </c>
      <c r="I26" s="2">
        <v>48000</v>
      </c>
      <c r="J26">
        <v>3460</v>
      </c>
      <c r="K26" t="s">
        <v>14</v>
      </c>
      <c r="L26">
        <v>-12.738994999999999</v>
      </c>
      <c r="M26">
        <v>-74.927205999999998</v>
      </c>
      <c r="N26" t="s">
        <v>15</v>
      </c>
    </row>
    <row r="27" spans="1:14" x14ac:dyDescent="0.25">
      <c r="A27">
        <f t="shared" si="1"/>
        <v>26</v>
      </c>
      <c r="B27">
        <v>25</v>
      </c>
      <c r="C27">
        <v>26</v>
      </c>
      <c r="D27">
        <v>3.64</v>
      </c>
      <c r="E27">
        <v>3.83</v>
      </c>
      <c r="F27">
        <v>3.74</v>
      </c>
      <c r="G27" t="str">
        <f t="shared" si="0"/>
        <v>Bueno</v>
      </c>
      <c r="H27">
        <v>56.5</v>
      </c>
      <c r="I27" s="2">
        <v>47000</v>
      </c>
      <c r="J27">
        <v>3451</v>
      </c>
      <c r="K27" t="s">
        <v>14</v>
      </c>
      <c r="L27">
        <v>-12.749305</v>
      </c>
      <c r="M27">
        <v>-74.898925000000006</v>
      </c>
      <c r="N27" t="s">
        <v>15</v>
      </c>
    </row>
    <row r="28" spans="1:14" x14ac:dyDescent="0.25">
      <c r="A28">
        <f t="shared" si="1"/>
        <v>27</v>
      </c>
      <c r="B28">
        <v>26</v>
      </c>
      <c r="C28">
        <v>27</v>
      </c>
      <c r="D28">
        <v>4.59</v>
      </c>
      <c r="E28">
        <v>3.42</v>
      </c>
      <c r="F28">
        <v>3.5</v>
      </c>
      <c r="G28" t="str">
        <f t="shared" si="0"/>
        <v>Regular</v>
      </c>
      <c r="H28">
        <v>38</v>
      </c>
      <c r="I28" s="2">
        <v>46000</v>
      </c>
      <c r="J28">
        <v>3442</v>
      </c>
      <c r="K28" t="s">
        <v>14</v>
      </c>
      <c r="L28">
        <v>-12.716238000000001</v>
      </c>
      <c r="M28">
        <v>-74.855709000000004</v>
      </c>
      <c r="N28" t="s">
        <v>15</v>
      </c>
    </row>
    <row r="29" spans="1:14" x14ac:dyDescent="0.25">
      <c r="A29">
        <f t="shared" si="1"/>
        <v>28</v>
      </c>
      <c r="B29">
        <v>27</v>
      </c>
      <c r="C29">
        <v>28</v>
      </c>
      <c r="D29">
        <v>3.12</v>
      </c>
      <c r="E29">
        <v>3.13</v>
      </c>
      <c r="F29">
        <v>3.12</v>
      </c>
      <c r="G29" t="str">
        <f t="shared" si="0"/>
        <v>Bueno</v>
      </c>
      <c r="H29">
        <v>52.6</v>
      </c>
      <c r="I29" s="2">
        <v>45000</v>
      </c>
      <c r="J29">
        <v>3433</v>
      </c>
      <c r="K29" t="s">
        <v>14</v>
      </c>
      <c r="L29">
        <v>-12.713637</v>
      </c>
      <c r="M29">
        <v>-74.852822000000003</v>
      </c>
      <c r="N29" t="s">
        <v>15</v>
      </c>
    </row>
    <row r="30" spans="1:14" x14ac:dyDescent="0.25">
      <c r="A30">
        <f t="shared" si="1"/>
        <v>29</v>
      </c>
      <c r="B30">
        <v>28</v>
      </c>
      <c r="C30">
        <v>29</v>
      </c>
      <c r="D30">
        <v>6.31</v>
      </c>
      <c r="E30">
        <v>6.16</v>
      </c>
      <c r="F30">
        <v>6.23</v>
      </c>
      <c r="G30" t="str">
        <f t="shared" si="0"/>
        <v>Deficiente</v>
      </c>
      <c r="H30">
        <v>47.4</v>
      </c>
      <c r="I30" s="2">
        <v>44000</v>
      </c>
      <c r="J30">
        <v>3425</v>
      </c>
      <c r="K30" t="s">
        <v>14</v>
      </c>
      <c r="L30">
        <v>-12.719912000000001</v>
      </c>
      <c r="M30">
        <v>-74.921515999999997</v>
      </c>
      <c r="N30" t="s">
        <v>15</v>
      </c>
    </row>
    <row r="31" spans="1:14" x14ac:dyDescent="0.25">
      <c r="A31">
        <f t="shared" si="1"/>
        <v>30</v>
      </c>
      <c r="B31">
        <v>29</v>
      </c>
      <c r="C31">
        <v>30</v>
      </c>
      <c r="D31">
        <v>2.68</v>
      </c>
      <c r="E31">
        <v>1.75</v>
      </c>
      <c r="F31">
        <v>1.71</v>
      </c>
      <c r="G31" t="str">
        <f t="shared" si="0"/>
        <v>Bueno</v>
      </c>
      <c r="H31">
        <v>47.6</v>
      </c>
      <c r="I31" s="2">
        <v>43000</v>
      </c>
      <c r="J31">
        <v>3416</v>
      </c>
      <c r="K31" t="s">
        <v>14</v>
      </c>
      <c r="L31">
        <v>-12.744852</v>
      </c>
      <c r="M31">
        <v>-74.922134999999997</v>
      </c>
      <c r="N31" t="s">
        <v>15</v>
      </c>
    </row>
    <row r="32" spans="1:14" x14ac:dyDescent="0.25">
      <c r="A32">
        <f t="shared" si="1"/>
        <v>31</v>
      </c>
      <c r="B32">
        <v>30</v>
      </c>
      <c r="C32">
        <v>31</v>
      </c>
      <c r="D32">
        <v>6.04</v>
      </c>
      <c r="E32">
        <v>5.88</v>
      </c>
      <c r="F32">
        <v>5.96</v>
      </c>
      <c r="G32" t="str">
        <f t="shared" si="0"/>
        <v>Deficiente</v>
      </c>
      <c r="H32">
        <v>38.6</v>
      </c>
      <c r="I32" s="2">
        <v>42000</v>
      </c>
      <c r="J32">
        <v>3407</v>
      </c>
      <c r="K32" t="s">
        <v>14</v>
      </c>
      <c r="L32">
        <v>-12.701055</v>
      </c>
      <c r="M32">
        <v>-74.851434999999995</v>
      </c>
      <c r="N32" t="s">
        <v>15</v>
      </c>
    </row>
    <row r="33" spans="1:14" x14ac:dyDescent="0.25">
      <c r="A33">
        <f t="shared" si="1"/>
        <v>32</v>
      </c>
      <c r="B33">
        <v>31</v>
      </c>
      <c r="C33">
        <v>32</v>
      </c>
      <c r="D33">
        <v>2.71</v>
      </c>
      <c r="E33">
        <v>2.81</v>
      </c>
      <c r="F33">
        <v>2.76</v>
      </c>
      <c r="G33" t="str">
        <f t="shared" si="0"/>
        <v>Bueno</v>
      </c>
      <c r="H33">
        <v>54</v>
      </c>
      <c r="I33" s="2">
        <v>41000</v>
      </c>
      <c r="J33">
        <v>3398</v>
      </c>
      <c r="K33" t="s">
        <v>14</v>
      </c>
      <c r="L33">
        <v>-12.726236</v>
      </c>
      <c r="M33">
        <v>-74.877178000000001</v>
      </c>
      <c r="N33" t="s">
        <v>15</v>
      </c>
    </row>
    <row r="34" spans="1:14" x14ac:dyDescent="0.25">
      <c r="A34">
        <f t="shared" si="1"/>
        <v>33</v>
      </c>
      <c r="B34">
        <v>32</v>
      </c>
      <c r="C34">
        <v>33</v>
      </c>
      <c r="D34">
        <v>3.34</v>
      </c>
      <c r="E34">
        <v>3.42</v>
      </c>
      <c r="F34">
        <v>3.38</v>
      </c>
      <c r="G34" t="str">
        <f t="shared" si="0"/>
        <v>Bueno</v>
      </c>
      <c r="H34">
        <v>50.8</v>
      </c>
      <c r="I34" s="2">
        <v>40000</v>
      </c>
      <c r="J34">
        <v>3390</v>
      </c>
      <c r="K34" t="s">
        <v>14</v>
      </c>
      <c r="L34">
        <v>-12.696422999999999</v>
      </c>
      <c r="M34">
        <v>-74.940971000000005</v>
      </c>
      <c r="N34" t="s">
        <v>15</v>
      </c>
    </row>
    <row r="35" spans="1:14" x14ac:dyDescent="0.25">
      <c r="A35">
        <f t="shared" si="1"/>
        <v>34</v>
      </c>
      <c r="B35">
        <v>33</v>
      </c>
      <c r="C35">
        <v>34</v>
      </c>
      <c r="D35">
        <v>5.68</v>
      </c>
      <c r="E35">
        <v>5.57</v>
      </c>
      <c r="F35">
        <v>5.62</v>
      </c>
      <c r="G35" t="str">
        <f t="shared" si="0"/>
        <v>Regular</v>
      </c>
      <c r="H35">
        <v>39.700000000000003</v>
      </c>
      <c r="I35" s="2">
        <v>39000</v>
      </c>
      <c r="J35">
        <v>3381</v>
      </c>
      <c r="K35" t="s">
        <v>14</v>
      </c>
      <c r="L35">
        <v>-12.745922</v>
      </c>
      <c r="M35">
        <v>-74.890911000000003</v>
      </c>
      <c r="N35" t="s">
        <v>15</v>
      </c>
    </row>
    <row r="36" spans="1:14" x14ac:dyDescent="0.25">
      <c r="A36">
        <f t="shared" si="1"/>
        <v>35</v>
      </c>
      <c r="B36">
        <v>34</v>
      </c>
      <c r="C36">
        <v>35</v>
      </c>
      <c r="D36">
        <v>4.8899999999999997</v>
      </c>
      <c r="E36">
        <v>4.5999999999999996</v>
      </c>
      <c r="F36">
        <v>4.74</v>
      </c>
      <c r="G36" t="str">
        <f t="shared" si="0"/>
        <v>Regular</v>
      </c>
      <c r="H36">
        <v>47.8</v>
      </c>
      <c r="I36" s="2">
        <v>38000</v>
      </c>
      <c r="J36">
        <v>3372</v>
      </c>
      <c r="K36" t="s">
        <v>14</v>
      </c>
      <c r="L36">
        <v>-12.727349999999999</v>
      </c>
      <c r="M36">
        <v>-74.885482999999994</v>
      </c>
      <c r="N36" t="s">
        <v>15</v>
      </c>
    </row>
    <row r="37" spans="1:14" x14ac:dyDescent="0.25">
      <c r="A37">
        <f t="shared" si="1"/>
        <v>36</v>
      </c>
      <c r="B37">
        <v>35</v>
      </c>
      <c r="C37">
        <v>36</v>
      </c>
      <c r="D37">
        <v>3.37</v>
      </c>
      <c r="E37">
        <v>2.48</v>
      </c>
      <c r="F37">
        <v>2.42</v>
      </c>
      <c r="G37" t="str">
        <f t="shared" si="0"/>
        <v>Bueno</v>
      </c>
      <c r="H37">
        <v>44.7</v>
      </c>
      <c r="I37" s="2">
        <v>37000</v>
      </c>
      <c r="J37">
        <v>3363</v>
      </c>
      <c r="K37" t="s">
        <v>14</v>
      </c>
      <c r="L37">
        <v>-12.656326999999999</v>
      </c>
      <c r="M37">
        <v>-74.936248000000006</v>
      </c>
      <c r="N37" t="s">
        <v>15</v>
      </c>
    </row>
    <row r="38" spans="1:14" x14ac:dyDescent="0.25">
      <c r="A38">
        <f t="shared" si="1"/>
        <v>37</v>
      </c>
      <c r="B38">
        <v>36</v>
      </c>
      <c r="C38">
        <v>37</v>
      </c>
      <c r="D38">
        <v>3.21</v>
      </c>
      <c r="E38">
        <v>2.98</v>
      </c>
      <c r="F38">
        <v>3.09</v>
      </c>
      <c r="G38" t="str">
        <f t="shared" si="0"/>
        <v>Bueno</v>
      </c>
      <c r="H38">
        <v>58.1</v>
      </c>
      <c r="I38" s="2">
        <v>36000</v>
      </c>
      <c r="J38">
        <v>3355</v>
      </c>
      <c r="K38" t="s">
        <v>14</v>
      </c>
      <c r="L38">
        <v>-12.662266000000001</v>
      </c>
      <c r="M38">
        <v>-74.924205999999998</v>
      </c>
      <c r="N38" t="s">
        <v>15</v>
      </c>
    </row>
    <row r="39" spans="1:14" x14ac:dyDescent="0.25">
      <c r="A39">
        <f t="shared" si="1"/>
        <v>38</v>
      </c>
      <c r="B39">
        <v>37</v>
      </c>
      <c r="C39">
        <v>38</v>
      </c>
      <c r="D39">
        <v>4.8</v>
      </c>
      <c r="E39">
        <v>4.99</v>
      </c>
      <c r="F39">
        <v>4.8899999999999997</v>
      </c>
      <c r="G39" t="str">
        <f t="shared" si="0"/>
        <v>Regular</v>
      </c>
      <c r="H39">
        <v>48.9</v>
      </c>
      <c r="I39" s="2">
        <v>35000</v>
      </c>
      <c r="J39">
        <v>3346</v>
      </c>
      <c r="K39" t="s">
        <v>14</v>
      </c>
      <c r="L39">
        <v>-12.697035</v>
      </c>
      <c r="M39">
        <v>-74.925815</v>
      </c>
      <c r="N39" t="s">
        <v>15</v>
      </c>
    </row>
    <row r="40" spans="1:14" x14ac:dyDescent="0.25">
      <c r="A40">
        <f t="shared" si="1"/>
        <v>39</v>
      </c>
      <c r="B40">
        <v>38</v>
      </c>
      <c r="C40">
        <v>39</v>
      </c>
      <c r="D40">
        <v>2.97</v>
      </c>
      <c r="E40">
        <v>2.21</v>
      </c>
      <c r="F40">
        <v>2.09</v>
      </c>
      <c r="G40" t="str">
        <f t="shared" si="0"/>
        <v>Bueno</v>
      </c>
      <c r="H40">
        <v>57.5</v>
      </c>
      <c r="I40" s="2">
        <v>34000</v>
      </c>
      <c r="J40">
        <v>3337</v>
      </c>
      <c r="K40" t="s">
        <v>14</v>
      </c>
      <c r="L40">
        <v>-12.68669</v>
      </c>
      <c r="M40">
        <v>-74.916096999999993</v>
      </c>
      <c r="N40" t="s">
        <v>15</v>
      </c>
    </row>
    <row r="41" spans="1:14" x14ac:dyDescent="0.25">
      <c r="A41">
        <f t="shared" si="1"/>
        <v>40</v>
      </c>
      <c r="B41">
        <v>39</v>
      </c>
      <c r="C41">
        <v>40</v>
      </c>
      <c r="D41">
        <v>3.25</v>
      </c>
      <c r="E41">
        <v>3.39</v>
      </c>
      <c r="F41">
        <v>3.32</v>
      </c>
      <c r="G41" t="str">
        <f t="shared" si="0"/>
        <v>Bueno</v>
      </c>
      <c r="H41">
        <v>57.4</v>
      </c>
      <c r="I41" s="2">
        <v>33000</v>
      </c>
      <c r="J41">
        <v>3328</v>
      </c>
      <c r="K41" t="s">
        <v>14</v>
      </c>
      <c r="L41">
        <v>-12.661291</v>
      </c>
      <c r="M41">
        <v>-74.872011999999998</v>
      </c>
      <c r="N41" t="s">
        <v>15</v>
      </c>
    </row>
    <row r="42" spans="1:14" x14ac:dyDescent="0.25">
      <c r="A42">
        <f t="shared" si="1"/>
        <v>41</v>
      </c>
      <c r="B42">
        <v>40</v>
      </c>
      <c r="C42">
        <v>41</v>
      </c>
      <c r="D42">
        <v>4.71</v>
      </c>
      <c r="E42">
        <v>4.46</v>
      </c>
      <c r="F42">
        <v>4.58</v>
      </c>
      <c r="G42" t="str">
        <f t="shared" si="0"/>
        <v>Regular</v>
      </c>
      <c r="H42">
        <v>39</v>
      </c>
      <c r="I42" s="2">
        <v>32000</v>
      </c>
      <c r="J42">
        <v>3320</v>
      </c>
      <c r="K42" t="s">
        <v>14</v>
      </c>
      <c r="L42">
        <v>-12.660145</v>
      </c>
      <c r="M42">
        <v>-74.889357000000004</v>
      </c>
      <c r="N42" t="s">
        <v>15</v>
      </c>
    </row>
    <row r="43" spans="1:14" x14ac:dyDescent="0.25">
      <c r="A43">
        <f t="shared" si="1"/>
        <v>42</v>
      </c>
      <c r="B43">
        <v>41</v>
      </c>
      <c r="C43">
        <v>42</v>
      </c>
      <c r="D43">
        <v>1.55</v>
      </c>
      <c r="E43">
        <v>1.31</v>
      </c>
      <c r="F43">
        <v>1.43</v>
      </c>
      <c r="G43" t="str">
        <f t="shared" si="0"/>
        <v>Excelente</v>
      </c>
      <c r="H43">
        <v>51.6</v>
      </c>
      <c r="I43" s="2">
        <v>31000</v>
      </c>
      <c r="J43">
        <v>3311</v>
      </c>
      <c r="K43" t="s">
        <v>14</v>
      </c>
      <c r="L43">
        <v>-12.749494</v>
      </c>
      <c r="M43">
        <v>-74.933919000000003</v>
      </c>
      <c r="N43" t="s">
        <v>15</v>
      </c>
    </row>
    <row r="44" spans="1:14" x14ac:dyDescent="0.25">
      <c r="A44">
        <f t="shared" si="1"/>
        <v>43</v>
      </c>
      <c r="B44">
        <v>42</v>
      </c>
      <c r="C44">
        <v>43</v>
      </c>
      <c r="D44">
        <v>4.24</v>
      </c>
      <c r="E44">
        <v>4.3600000000000003</v>
      </c>
      <c r="F44">
        <v>4.3</v>
      </c>
      <c r="G44" t="str">
        <f t="shared" si="0"/>
        <v>Regular</v>
      </c>
      <c r="H44">
        <v>51.3</v>
      </c>
      <c r="I44" s="2">
        <v>30000</v>
      </c>
      <c r="J44">
        <v>3302</v>
      </c>
      <c r="K44" t="s">
        <v>14</v>
      </c>
      <c r="L44">
        <v>-12.727573</v>
      </c>
      <c r="M44">
        <v>-74.878782000000001</v>
      </c>
      <c r="N44" t="s">
        <v>15</v>
      </c>
    </row>
    <row r="45" spans="1:14" x14ac:dyDescent="0.25">
      <c r="A45">
        <f t="shared" si="1"/>
        <v>44</v>
      </c>
      <c r="B45">
        <v>43</v>
      </c>
      <c r="C45">
        <v>44</v>
      </c>
      <c r="D45">
        <v>2.69</v>
      </c>
      <c r="E45">
        <v>2.59</v>
      </c>
      <c r="F45">
        <v>2.64</v>
      </c>
      <c r="G45" t="str">
        <f t="shared" si="0"/>
        <v>Bueno</v>
      </c>
      <c r="H45">
        <v>53.7</v>
      </c>
      <c r="I45" s="2">
        <v>29000</v>
      </c>
      <c r="J45">
        <v>3293</v>
      </c>
      <c r="K45" t="s">
        <v>14</v>
      </c>
      <c r="L45">
        <v>-12.685036999999999</v>
      </c>
      <c r="M45">
        <v>-74.865077999999997</v>
      </c>
      <c r="N45" t="s">
        <v>15</v>
      </c>
    </row>
    <row r="46" spans="1:14" x14ac:dyDescent="0.25">
      <c r="A46">
        <f t="shared" si="1"/>
        <v>45</v>
      </c>
      <c r="B46">
        <v>44</v>
      </c>
      <c r="C46">
        <v>45</v>
      </c>
      <c r="D46">
        <v>4.79</v>
      </c>
      <c r="E46">
        <v>4.83</v>
      </c>
      <c r="F46">
        <v>4.8099999999999996</v>
      </c>
      <c r="G46" t="str">
        <f t="shared" si="0"/>
        <v>Regular</v>
      </c>
      <c r="H46">
        <v>37.299999999999997</v>
      </c>
      <c r="I46" s="2">
        <v>28000</v>
      </c>
      <c r="J46">
        <v>3285</v>
      </c>
      <c r="K46" t="s">
        <v>14</v>
      </c>
      <c r="L46">
        <v>-12.713228000000001</v>
      </c>
      <c r="M46">
        <v>-74.923479999999998</v>
      </c>
      <c r="N46" t="s">
        <v>15</v>
      </c>
    </row>
    <row r="47" spans="1:14" x14ac:dyDescent="0.25">
      <c r="A47">
        <f t="shared" si="1"/>
        <v>46</v>
      </c>
      <c r="B47">
        <v>45</v>
      </c>
      <c r="C47">
        <v>46</v>
      </c>
      <c r="D47">
        <v>3.72</v>
      </c>
      <c r="E47">
        <v>3</v>
      </c>
      <c r="F47">
        <v>2.86</v>
      </c>
      <c r="G47" t="str">
        <f t="shared" si="0"/>
        <v>Bueno</v>
      </c>
      <c r="H47">
        <v>44.8</v>
      </c>
      <c r="I47" s="2">
        <v>27000</v>
      </c>
      <c r="J47">
        <v>3276</v>
      </c>
      <c r="K47" t="s">
        <v>14</v>
      </c>
      <c r="L47">
        <v>-12.660795</v>
      </c>
      <c r="M47">
        <v>-74.886886000000004</v>
      </c>
      <c r="N47" t="s">
        <v>15</v>
      </c>
    </row>
    <row r="48" spans="1:14" x14ac:dyDescent="0.25">
      <c r="A48">
        <f t="shared" si="1"/>
        <v>47</v>
      </c>
      <c r="B48">
        <v>46</v>
      </c>
      <c r="C48">
        <v>47</v>
      </c>
      <c r="D48">
        <v>5.47</v>
      </c>
      <c r="E48">
        <v>5.47</v>
      </c>
      <c r="F48">
        <v>5.47</v>
      </c>
      <c r="G48" t="str">
        <f t="shared" si="0"/>
        <v>Regular</v>
      </c>
      <c r="H48">
        <v>49.4</v>
      </c>
      <c r="I48" s="2">
        <v>26000</v>
      </c>
      <c r="J48">
        <v>3267</v>
      </c>
      <c r="K48" t="s">
        <v>14</v>
      </c>
      <c r="L48">
        <v>-12.700748000000001</v>
      </c>
      <c r="M48">
        <v>-74.930475999999999</v>
      </c>
      <c r="N48" t="s">
        <v>15</v>
      </c>
    </row>
    <row r="49" spans="1:14" x14ac:dyDescent="0.25">
      <c r="A49">
        <f t="shared" si="1"/>
        <v>48</v>
      </c>
      <c r="B49">
        <v>47</v>
      </c>
      <c r="C49">
        <v>48</v>
      </c>
      <c r="D49">
        <v>5.1100000000000003</v>
      </c>
      <c r="E49">
        <v>4.9800000000000004</v>
      </c>
      <c r="F49">
        <v>5.04</v>
      </c>
      <c r="G49" t="str">
        <f t="shared" si="0"/>
        <v>Regular</v>
      </c>
      <c r="H49">
        <v>35.6</v>
      </c>
      <c r="I49" s="2">
        <v>25000</v>
      </c>
      <c r="J49">
        <v>3258</v>
      </c>
      <c r="K49" t="s">
        <v>14</v>
      </c>
      <c r="L49">
        <v>-12.685453000000001</v>
      </c>
      <c r="M49">
        <v>-74.932288999999997</v>
      </c>
      <c r="N49" t="s">
        <v>15</v>
      </c>
    </row>
    <row r="50" spans="1:14" x14ac:dyDescent="0.25">
      <c r="A50">
        <f t="shared" si="1"/>
        <v>49</v>
      </c>
      <c r="B50">
        <v>48</v>
      </c>
      <c r="C50">
        <v>49</v>
      </c>
      <c r="D50">
        <v>6.2</v>
      </c>
      <c r="E50">
        <v>6.47</v>
      </c>
      <c r="F50">
        <v>6.33</v>
      </c>
      <c r="G50" t="str">
        <f t="shared" si="0"/>
        <v>Deficiente</v>
      </c>
      <c r="H50">
        <v>57.9</v>
      </c>
      <c r="I50" s="2">
        <v>24000</v>
      </c>
      <c r="J50">
        <v>3250</v>
      </c>
      <c r="K50" t="s">
        <v>14</v>
      </c>
      <c r="L50">
        <v>-12.712984000000001</v>
      </c>
      <c r="M50">
        <v>-74.948453999999998</v>
      </c>
      <c r="N50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 GH</dc:creator>
  <cp:lastModifiedBy>Rick GH</cp:lastModifiedBy>
  <dcterms:created xsi:type="dcterms:W3CDTF">2025-11-12T18:30:49Z</dcterms:created>
  <dcterms:modified xsi:type="dcterms:W3CDTF">2025-11-25T15:18:31Z</dcterms:modified>
</cp:coreProperties>
</file>