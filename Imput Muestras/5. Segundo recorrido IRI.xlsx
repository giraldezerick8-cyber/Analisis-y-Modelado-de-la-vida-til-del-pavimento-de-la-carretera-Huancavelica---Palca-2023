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guimiento Tesis\Ensayos\Estimación de vida útil\IRI\DATOS\"/>
    </mc:Choice>
  </mc:AlternateContent>
  <xr:revisionPtr revIDLastSave="0" documentId="13_ncr:1_{56E80893-6065-4CF3-A675-8E9323D1EB75}" xr6:coauthVersionLast="47" xr6:coauthVersionMax="47" xr10:uidLastSave="{00000000-0000-0000-0000-000000000000}"/>
  <bookViews>
    <workbookView xWindow="-120" yWindow="-120" windowWidth="29040" windowHeight="16440" xr2:uid="{E6A9D672-4DC8-4A72-97F4-844F1EA69B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<sst xmlns="http://schemas.openxmlformats.org/spreadsheetml/2006/main" count="112" uniqueCount="16">
  <si>
    <t>Segment_ID</t>
  </si>
  <si>
    <t>Start_km</t>
  </si>
  <si>
    <t>End_km</t>
  </si>
  <si>
    <t>IRI_m_per_km</t>
  </si>
  <si>
    <t>eIRI</t>
  </si>
  <si>
    <t>cIRI</t>
  </si>
  <si>
    <t>RCdec</t>
  </si>
  <si>
    <t>Speed_kmh</t>
  </si>
  <si>
    <t>Progresiva_m</t>
  </si>
  <si>
    <t>Elevacion_m</t>
  </si>
  <si>
    <t>Codigo_Via</t>
  </si>
  <si>
    <t>Latitude</t>
  </si>
  <si>
    <t>Longitude</t>
  </si>
  <si>
    <t>Device_ID</t>
  </si>
  <si>
    <t>PE-26 / HV-114</t>
  </si>
  <si>
    <t>RDROID2025X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</si>
</sst>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29A1-F8BD-43BB-8F15-79550FEDA2D8}">
  <dimension ref="A1:N50"/>
  <sheetViews>
    <sheetView tabSelected="1" workbookViewId="0">
      <selection activeCell="A2" sqref="A2:A50"/>
    </sheetView>
  </sheetViews>
  <sheetFormatPr baseColWidth="10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0</v>
      </c>
      <c r="C2">
        <v>1</v>
      </c>
      <c r="D2" s="2">
        <v>3.3754086664233589</v>
      </c>
      <c r="E2" s="2">
        <v>3.7684167383781779</v>
      </c>
      <c r="F2" s="2">
        <v>3.8116289474987339</v>
      </c>
      <c r="G2" t="str">
        <f>+IF(D2&lt;2,"Excelente",IF(D2&lt;4,"Bueno",IF(D2&lt;6,"Regular",IF(D2&lt;8,"Deficiente","Crítico"))))</f>
        <v>Bueno</v>
      </c>
      <c r="H2" s="3">
        <v>50.2</v>
      </c>
      <c r="I2">
        <v>72000</v>
      </c>
      <c r="J2">
        <v>3670</v>
      </c>
      <c r="K2" t="s">
        <v>14</v>
      </c>
      <c r="L2">
        <v>-12.690134</v>
      </c>
      <c r="M2">
        <v>-74.934398000000002</v>
      </c>
      <c r="N2" t="s">
        <v>15</v>
      </c>
    </row>
    <row r="3" spans="1:14" x14ac:dyDescent="0.25">
      <c r="A3">
        <f>1+A2</f>
        <v>2</v>
      </c>
      <c r="B3">
        <v>1</v>
      </c>
      <c r="C3">
        <v>2</v>
      </c>
      <c r="D3" s="2">
        <v>2.641</v>
      </c>
      <c r="E3" s="2">
        <v>2.6676793747538499</v>
      </c>
      <c r="F3" s="2">
        <v>1.7466548857667821</v>
      </c>
      <c r="G3" t="str">
        <f t="shared" ref="G3:G50" si="0">+IF(D3&lt;2,"Excelente",IF(D3&lt;4,"Bueno",IF(D3&lt;6,"Regular",IF(D3&lt;8,"Deficiente","Crítico"))))</f>
        <v>Bueno</v>
      </c>
      <c r="H3" s="3">
        <v>59.8</v>
      </c>
      <c r="I3">
        <v>71000</v>
      </c>
      <c r="J3">
        <v>3661</v>
      </c>
      <c r="K3" t="s">
        <v>14</v>
      </c>
      <c r="L3">
        <v>-12.689888</v>
      </c>
      <c r="M3">
        <v>-74.879193000000001</v>
      </c>
      <c r="N3" t="s">
        <v>15</v>
      </c>
    </row>
    <row r="4" spans="1:14" x14ac:dyDescent="0.25">
      <c r="A4">
        <f t="shared" ref="A4:A50" si="1">1+A3</f>
        <v>3</v>
      </c>
      <c r="B4">
        <v>2</v>
      </c>
      <c r="C4">
        <v>3</v>
      </c>
      <c r="D4" s="2">
        <v>1.813274888741371</v>
      </c>
      <c r="E4" s="2">
        <v>1.9590047615944299</v>
      </c>
      <c r="F4" s="2">
        <v>1.7378761440114441</v>
      </c>
      <c r="G4" t="str">
        <f t="shared" si="0"/>
        <v>Excelente</v>
      </c>
      <c r="H4" s="3">
        <v>51.6</v>
      </c>
      <c r="I4">
        <v>70000</v>
      </c>
      <c r="J4">
        <v>3652</v>
      </c>
      <c r="K4" t="s">
        <v>14</v>
      </c>
      <c r="L4">
        <v>-12.728766</v>
      </c>
      <c r="M4">
        <v>-74.931818000000007</v>
      </c>
      <c r="N4" t="s">
        <v>15</v>
      </c>
    </row>
    <row r="5" spans="1:14" x14ac:dyDescent="0.25">
      <c r="A5">
        <f t="shared" si="1"/>
        <v>4</v>
      </c>
      <c r="B5">
        <v>3</v>
      </c>
      <c r="C5">
        <v>4</v>
      </c>
      <c r="D5" s="2">
        <v>3.019144661764003</v>
      </c>
      <c r="E5" s="2">
        <v>1.7246429523211411</v>
      </c>
      <c r="F5" s="2">
        <v>2.1005030435470222</v>
      </c>
      <c r="G5" t="str">
        <f t="shared" si="0"/>
        <v>Bueno</v>
      </c>
      <c r="H5" s="3">
        <v>46.9</v>
      </c>
      <c r="I5">
        <v>69000</v>
      </c>
      <c r="J5">
        <v>3643</v>
      </c>
      <c r="K5" t="s">
        <v>14</v>
      </c>
      <c r="L5">
        <v>-12.706804999999999</v>
      </c>
      <c r="M5">
        <v>-74.920877000000004</v>
      </c>
      <c r="N5" t="s">
        <v>15</v>
      </c>
    </row>
    <row r="6" spans="1:14" x14ac:dyDescent="0.25">
      <c r="A6">
        <f t="shared" si="1"/>
        <v>5</v>
      </c>
      <c r="B6">
        <v>4</v>
      </c>
      <c r="C6">
        <v>5</v>
      </c>
      <c r="D6" s="2">
        <v>4.9035016440742503</v>
      </c>
      <c r="E6" s="2">
        <v>4.9060531581553004</v>
      </c>
      <c r="F6" s="2">
        <v>4.6143096268530011</v>
      </c>
      <c r="G6" t="str">
        <f t="shared" si="0"/>
        <v>Regular</v>
      </c>
      <c r="H6" s="3">
        <v>47.6</v>
      </c>
      <c r="I6">
        <v>68000</v>
      </c>
      <c r="J6">
        <v>3635</v>
      </c>
      <c r="K6" t="s">
        <v>14</v>
      </c>
      <c r="L6">
        <v>-12.713364</v>
      </c>
      <c r="M6">
        <v>-74.904392999999999</v>
      </c>
      <c r="N6" t="s">
        <v>15</v>
      </c>
    </row>
    <row r="7" spans="1:14" x14ac:dyDescent="0.25">
      <c r="A7">
        <f t="shared" si="1"/>
        <v>6</v>
      </c>
      <c r="B7">
        <v>5</v>
      </c>
      <c r="C7">
        <v>6</v>
      </c>
      <c r="D7" s="2">
        <v>5.9007243210728673</v>
      </c>
      <c r="E7" s="2">
        <v>5.2476082406966462</v>
      </c>
      <c r="F7" s="2">
        <v>4.8989058195514961</v>
      </c>
      <c r="G7" t="str">
        <f t="shared" si="0"/>
        <v>Regular</v>
      </c>
      <c r="H7" s="3">
        <v>52.1</v>
      </c>
      <c r="I7">
        <v>67000</v>
      </c>
      <c r="J7">
        <v>3626</v>
      </c>
      <c r="K7" t="s">
        <v>14</v>
      </c>
      <c r="L7">
        <v>-12.690759</v>
      </c>
      <c r="M7">
        <v>-74.945355000000006</v>
      </c>
      <c r="N7" t="s">
        <v>15</v>
      </c>
    </row>
    <row r="8" spans="1:14" x14ac:dyDescent="0.25">
      <c r="A8">
        <f t="shared" si="1"/>
        <v>7</v>
      </c>
      <c r="B8">
        <v>6</v>
      </c>
      <c r="C8">
        <v>7</v>
      </c>
      <c r="D8" s="2">
        <v>4.8233341303934711</v>
      </c>
      <c r="E8" s="2">
        <v>4.8442549681799321</v>
      </c>
      <c r="F8" s="2">
        <v>4.1824871753126516</v>
      </c>
      <c r="G8" t="str">
        <f t="shared" si="0"/>
        <v>Regular</v>
      </c>
      <c r="H8" s="3">
        <v>41.7</v>
      </c>
      <c r="I8">
        <v>66000</v>
      </c>
      <c r="J8">
        <v>3617</v>
      </c>
      <c r="K8" t="s">
        <v>14</v>
      </c>
      <c r="L8">
        <v>-12.655111</v>
      </c>
      <c r="M8">
        <v>-74.853437</v>
      </c>
      <c r="N8" t="s">
        <v>15</v>
      </c>
    </row>
    <row r="9" spans="1:14" x14ac:dyDescent="0.25">
      <c r="A9">
        <f t="shared" si="1"/>
        <v>8</v>
      </c>
      <c r="B9">
        <v>7</v>
      </c>
      <c r="C9">
        <v>8</v>
      </c>
      <c r="D9" s="2">
        <v>5.5710084619892353</v>
      </c>
      <c r="E9" s="2">
        <v>5.17905252113313</v>
      </c>
      <c r="F9" s="2">
        <v>5.5344987007869717</v>
      </c>
      <c r="G9" t="str">
        <f t="shared" si="0"/>
        <v>Regular</v>
      </c>
      <c r="H9" s="3">
        <v>42.8</v>
      </c>
      <c r="I9">
        <v>65000</v>
      </c>
      <c r="J9">
        <v>3608</v>
      </c>
      <c r="K9" t="s">
        <v>14</v>
      </c>
      <c r="L9">
        <v>-12.681577000000001</v>
      </c>
      <c r="M9">
        <v>-74.905985000000001</v>
      </c>
      <c r="N9" t="s">
        <v>15</v>
      </c>
    </row>
    <row r="10" spans="1:14" x14ac:dyDescent="0.25">
      <c r="A10">
        <f t="shared" si="1"/>
        <v>9</v>
      </c>
      <c r="B10">
        <v>8</v>
      </c>
      <c r="C10">
        <v>9</v>
      </c>
      <c r="D10" s="2">
        <v>2.2400983453608592</v>
      </c>
      <c r="E10" s="2">
        <v>2.5813931859422969</v>
      </c>
      <c r="F10" s="2">
        <v>2.5271646957059111</v>
      </c>
      <c r="G10" t="str">
        <f t="shared" si="0"/>
        <v>Bueno</v>
      </c>
      <c r="H10" s="3">
        <v>41.2</v>
      </c>
      <c r="I10">
        <v>64000</v>
      </c>
      <c r="J10">
        <v>3600</v>
      </c>
      <c r="K10" t="s">
        <v>14</v>
      </c>
      <c r="L10">
        <v>-12.659068</v>
      </c>
      <c r="M10">
        <v>-74.924121999999997</v>
      </c>
      <c r="N10" t="s">
        <v>15</v>
      </c>
    </row>
    <row r="11" spans="1:14" x14ac:dyDescent="0.25">
      <c r="A11">
        <f t="shared" si="1"/>
        <v>10</v>
      </c>
      <c r="B11">
        <v>9</v>
      </c>
      <c r="C11">
        <v>10</v>
      </c>
      <c r="D11" s="2">
        <v>5.2815640993357036</v>
      </c>
      <c r="E11" s="2">
        <v>4.7368762877878599</v>
      </c>
      <c r="F11" s="2">
        <v>4.6182946444375466</v>
      </c>
      <c r="G11" t="str">
        <f t="shared" si="0"/>
        <v>Regular</v>
      </c>
      <c r="H11" s="3">
        <v>52.3</v>
      </c>
      <c r="I11">
        <v>63000</v>
      </c>
      <c r="J11">
        <v>3591</v>
      </c>
      <c r="K11" t="s">
        <v>14</v>
      </c>
      <c r="L11">
        <v>-12.695328999999999</v>
      </c>
      <c r="M11">
        <v>-74.931515000000005</v>
      </c>
      <c r="N11" t="s">
        <v>15</v>
      </c>
    </row>
    <row r="12" spans="1:14" x14ac:dyDescent="0.25">
      <c r="A12">
        <f t="shared" si="1"/>
        <v>11</v>
      </c>
      <c r="B12">
        <v>10</v>
      </c>
      <c r="C12">
        <v>11</v>
      </c>
      <c r="D12" s="2">
        <v>6.3819917867989</v>
      </c>
      <c r="E12" s="2">
        <v>6.3801217963031434</v>
      </c>
      <c r="F12" s="2">
        <v>6.2566975305627608</v>
      </c>
      <c r="G12" t="str">
        <f t="shared" si="0"/>
        <v>Deficiente</v>
      </c>
      <c r="H12" s="3">
        <v>54.7</v>
      </c>
      <c r="I12">
        <v>62000</v>
      </c>
      <c r="J12">
        <v>3582</v>
      </c>
      <c r="K12" t="s">
        <v>14</v>
      </c>
      <c r="L12">
        <v>-12.660517</v>
      </c>
      <c r="M12">
        <v>-74.890209999999996</v>
      </c>
      <c r="N12" t="s">
        <v>15</v>
      </c>
    </row>
    <row r="13" spans="1:14" x14ac:dyDescent="0.25">
      <c r="A13">
        <f t="shared" si="1"/>
        <v>12</v>
      </c>
      <c r="B13">
        <v>11</v>
      </c>
      <c r="C13">
        <v>12</v>
      </c>
      <c r="D13" s="2">
        <v>6.0376038972104729</v>
      </c>
      <c r="E13" s="2">
        <v>5.5996214832607549</v>
      </c>
      <c r="F13" s="2">
        <v>5.6545998195932974</v>
      </c>
      <c r="G13" t="str">
        <f t="shared" si="0"/>
        <v>Deficiente</v>
      </c>
      <c r="H13" s="3">
        <v>43.2</v>
      </c>
      <c r="I13">
        <v>61000</v>
      </c>
      <c r="J13">
        <v>3573</v>
      </c>
      <c r="K13" t="s">
        <v>14</v>
      </c>
      <c r="L13">
        <v>-12.745476999999999</v>
      </c>
      <c r="M13">
        <v>-74.917467000000002</v>
      </c>
      <c r="N13" t="s">
        <v>15</v>
      </c>
    </row>
    <row r="14" spans="1:14" x14ac:dyDescent="0.25">
      <c r="A14">
        <f t="shared" si="1"/>
        <v>13</v>
      </c>
      <c r="B14">
        <v>12</v>
      </c>
      <c r="C14">
        <v>13</v>
      </c>
      <c r="D14" s="2">
        <v>4.1365373683024469</v>
      </c>
      <c r="E14" s="2">
        <v>3.4775617339012999</v>
      </c>
      <c r="F14" s="2">
        <v>3.75466861694759</v>
      </c>
      <c r="G14" t="str">
        <f t="shared" si="0"/>
        <v>Regular</v>
      </c>
      <c r="H14" s="3">
        <v>49.3</v>
      </c>
      <c r="I14">
        <v>60000</v>
      </c>
      <c r="J14">
        <v>3565</v>
      </c>
      <c r="K14" t="s">
        <v>14</v>
      </c>
      <c r="L14">
        <v>-12.714325000000001</v>
      </c>
      <c r="M14">
        <v>-74.921907000000004</v>
      </c>
      <c r="N14" t="s">
        <v>15</v>
      </c>
    </row>
    <row r="15" spans="1:14" x14ac:dyDescent="0.25">
      <c r="A15">
        <f t="shared" si="1"/>
        <v>14</v>
      </c>
      <c r="B15">
        <v>13</v>
      </c>
      <c r="C15">
        <v>14</v>
      </c>
      <c r="D15" s="2">
        <v>4.4291735224056996</v>
      </c>
      <c r="E15" s="2">
        <v>3.7811888814228172</v>
      </c>
      <c r="F15" s="2">
        <v>4.4578833066080792</v>
      </c>
      <c r="G15" t="str">
        <f t="shared" si="0"/>
        <v>Regular</v>
      </c>
      <c r="H15" s="3">
        <v>58.8</v>
      </c>
      <c r="I15">
        <v>59000</v>
      </c>
      <c r="J15">
        <v>3556</v>
      </c>
      <c r="K15" t="s">
        <v>14</v>
      </c>
      <c r="L15">
        <v>-12.742545</v>
      </c>
      <c r="M15">
        <v>-74.851310999999995</v>
      </c>
      <c r="N15" t="s">
        <v>15</v>
      </c>
    </row>
    <row r="16" spans="1:14" x14ac:dyDescent="0.25">
      <c r="A16">
        <f t="shared" si="1"/>
        <v>15</v>
      </c>
      <c r="B16">
        <v>14</v>
      </c>
      <c r="C16">
        <v>15</v>
      </c>
      <c r="D16" s="2">
        <v>4.8073993271477189</v>
      </c>
      <c r="E16" s="2">
        <v>4.6583153618992892</v>
      </c>
      <c r="F16" s="2">
        <v>4.9792501347854508</v>
      </c>
      <c r="G16" t="str">
        <f t="shared" si="0"/>
        <v>Regular</v>
      </c>
      <c r="H16" s="3">
        <v>37.4</v>
      </c>
      <c r="I16">
        <v>58000</v>
      </c>
      <c r="J16">
        <v>3547</v>
      </c>
      <c r="K16" t="s">
        <v>14</v>
      </c>
      <c r="L16">
        <v>-12.668454000000001</v>
      </c>
      <c r="M16">
        <v>-74.879313999999994</v>
      </c>
      <c r="N16" t="s">
        <v>15</v>
      </c>
    </row>
    <row r="17" spans="1:14" x14ac:dyDescent="0.25">
      <c r="A17">
        <f t="shared" si="1"/>
        <v>16</v>
      </c>
      <c r="B17">
        <v>15</v>
      </c>
      <c r="C17">
        <v>16</v>
      </c>
      <c r="D17" s="2">
        <v>5.0624448323518738</v>
      </c>
      <c r="E17" s="2">
        <v>4.8164861829483652</v>
      </c>
      <c r="F17" s="2">
        <v>4.8228373967281444</v>
      </c>
      <c r="G17" t="str">
        <f t="shared" si="0"/>
        <v>Regular</v>
      </c>
      <c r="H17" s="3">
        <v>43.7</v>
      </c>
      <c r="I17">
        <v>57000</v>
      </c>
      <c r="J17">
        <v>3538</v>
      </c>
      <c r="K17" t="s">
        <v>14</v>
      </c>
      <c r="L17">
        <v>-12.714153</v>
      </c>
      <c r="M17">
        <v>-74.938412999999997</v>
      </c>
      <c r="N17" t="s">
        <v>15</v>
      </c>
    </row>
    <row r="18" spans="1:14" x14ac:dyDescent="0.25">
      <c r="A18">
        <f t="shared" si="1"/>
        <v>17</v>
      </c>
      <c r="B18">
        <v>16</v>
      </c>
      <c r="C18">
        <v>17</v>
      </c>
      <c r="D18" s="2">
        <v>5.9075102744295069</v>
      </c>
      <c r="E18" s="2">
        <v>6.5451759537782319</v>
      </c>
      <c r="F18" s="2">
        <v>5.1676984484615494</v>
      </c>
      <c r="G18" t="str">
        <f t="shared" si="0"/>
        <v>Regular</v>
      </c>
      <c r="H18" s="3">
        <v>48.2</v>
      </c>
      <c r="I18">
        <v>56000</v>
      </c>
      <c r="J18">
        <v>3530</v>
      </c>
      <c r="K18" t="s">
        <v>14</v>
      </c>
      <c r="L18">
        <v>-12.743644</v>
      </c>
      <c r="M18">
        <v>-74.918902000000003</v>
      </c>
      <c r="N18" t="s">
        <v>15</v>
      </c>
    </row>
    <row r="19" spans="1:14" x14ac:dyDescent="0.25">
      <c r="A19">
        <f t="shared" si="1"/>
        <v>18</v>
      </c>
      <c r="B19">
        <v>17</v>
      </c>
      <c r="C19">
        <v>18</v>
      </c>
      <c r="D19" s="2">
        <v>3.556</v>
      </c>
      <c r="E19" s="2">
        <v>3.459762914221336</v>
      </c>
      <c r="F19" s="2">
        <v>3.6807669383773591</v>
      </c>
      <c r="G19" t="str">
        <f t="shared" si="0"/>
        <v>Bueno</v>
      </c>
      <c r="H19" s="3">
        <v>46.8</v>
      </c>
      <c r="I19">
        <v>55000</v>
      </c>
      <c r="J19">
        <v>3521</v>
      </c>
      <c r="K19" t="s">
        <v>14</v>
      </c>
      <c r="L19">
        <v>-12.661279</v>
      </c>
      <c r="M19">
        <v>-74.902778999999995</v>
      </c>
      <c r="N19" t="s">
        <v>15</v>
      </c>
    </row>
    <row r="20" spans="1:14" x14ac:dyDescent="0.25">
      <c r="A20">
        <f t="shared" si="1"/>
        <v>19</v>
      </c>
      <c r="B20">
        <v>18</v>
      </c>
      <c r="C20">
        <v>19</v>
      </c>
      <c r="D20" s="2">
        <v>3.516</v>
      </c>
      <c r="E20" s="2">
        <v>2.133553931829868</v>
      </c>
      <c r="F20" s="2">
        <v>1.557949211550183</v>
      </c>
      <c r="G20" t="str">
        <f t="shared" si="0"/>
        <v>Bueno</v>
      </c>
      <c r="H20" s="3">
        <v>56.2</v>
      </c>
      <c r="I20">
        <v>54000</v>
      </c>
      <c r="J20">
        <v>3512</v>
      </c>
      <c r="K20" t="s">
        <v>14</v>
      </c>
      <c r="L20">
        <v>-12.693872000000001</v>
      </c>
      <c r="M20">
        <v>-74.872902999999994</v>
      </c>
      <c r="N20" t="s">
        <v>15</v>
      </c>
    </row>
    <row r="21" spans="1:14" x14ac:dyDescent="0.25">
      <c r="A21">
        <f t="shared" si="1"/>
        <v>20</v>
      </c>
      <c r="B21">
        <v>19</v>
      </c>
      <c r="C21">
        <v>20</v>
      </c>
      <c r="D21" s="2">
        <v>3.3330310890055221</v>
      </c>
      <c r="E21" s="2">
        <v>4.435159575212368</v>
      </c>
      <c r="F21" s="2">
        <v>3.4501576224837001</v>
      </c>
      <c r="G21" t="str">
        <f t="shared" si="0"/>
        <v>Bueno</v>
      </c>
      <c r="H21" s="3">
        <v>50.4</v>
      </c>
      <c r="I21">
        <v>53000</v>
      </c>
      <c r="J21">
        <v>3503</v>
      </c>
      <c r="K21" t="s">
        <v>14</v>
      </c>
      <c r="L21">
        <v>-12.747458</v>
      </c>
      <c r="M21">
        <v>-74.939211</v>
      </c>
      <c r="N21" t="s">
        <v>15</v>
      </c>
    </row>
    <row r="22" spans="1:14" x14ac:dyDescent="0.25">
      <c r="A22">
        <f t="shared" si="1"/>
        <v>21</v>
      </c>
      <c r="B22">
        <v>20</v>
      </c>
      <c r="C22">
        <v>21</v>
      </c>
      <c r="D22" s="2">
        <v>1.5006667756951031</v>
      </c>
      <c r="E22" s="2">
        <v>1.3326850484089281</v>
      </c>
      <c r="F22" s="2">
        <v>1.4806169573981469</v>
      </c>
      <c r="G22" t="str">
        <f t="shared" si="0"/>
        <v>Excelente</v>
      </c>
      <c r="H22" s="3">
        <v>44.6</v>
      </c>
      <c r="I22">
        <v>52000</v>
      </c>
      <c r="J22">
        <v>3495</v>
      </c>
      <c r="K22" t="s">
        <v>14</v>
      </c>
      <c r="L22">
        <v>-12.699142999999999</v>
      </c>
      <c r="M22">
        <v>-74.859243000000006</v>
      </c>
      <c r="N22" t="s">
        <v>15</v>
      </c>
    </row>
    <row r="23" spans="1:14" x14ac:dyDescent="0.25">
      <c r="A23">
        <f t="shared" si="1"/>
        <v>22</v>
      </c>
      <c r="B23">
        <v>21</v>
      </c>
      <c r="C23">
        <v>22</v>
      </c>
      <c r="D23" s="2">
        <v>2.191399368144102</v>
      </c>
      <c r="E23" s="2">
        <v>2.413815824356524</v>
      </c>
      <c r="F23" s="2">
        <v>2.910402338016346</v>
      </c>
      <c r="G23" t="str">
        <f t="shared" si="0"/>
        <v>Bueno</v>
      </c>
      <c r="H23" s="3">
        <v>59.7</v>
      </c>
      <c r="I23">
        <v>51000</v>
      </c>
      <c r="J23">
        <v>3486</v>
      </c>
      <c r="K23" t="s">
        <v>14</v>
      </c>
      <c r="L23">
        <v>-12.727119999999999</v>
      </c>
      <c r="M23">
        <v>-74.942301999999998</v>
      </c>
      <c r="N23" t="s">
        <v>15</v>
      </c>
    </row>
    <row r="24" spans="1:14" x14ac:dyDescent="0.25">
      <c r="A24">
        <f t="shared" si="1"/>
        <v>23</v>
      </c>
      <c r="B24">
        <v>22</v>
      </c>
      <c r="C24">
        <v>23</v>
      </c>
      <c r="D24" s="2">
        <v>4.5259999999999998</v>
      </c>
      <c r="E24" s="2">
        <v>2.8605410659131052</v>
      </c>
      <c r="F24" s="2">
        <v>3.472665310299631</v>
      </c>
      <c r="G24" t="str">
        <f t="shared" si="0"/>
        <v>Regular</v>
      </c>
      <c r="H24" s="3">
        <v>54.1</v>
      </c>
      <c r="I24">
        <v>50000</v>
      </c>
      <c r="J24">
        <v>3477</v>
      </c>
      <c r="K24" t="s">
        <v>14</v>
      </c>
      <c r="L24">
        <v>-12.669188</v>
      </c>
      <c r="M24">
        <v>-74.886660000000006</v>
      </c>
      <c r="N24" t="s">
        <v>15</v>
      </c>
    </row>
    <row r="25" spans="1:14" x14ac:dyDescent="0.25">
      <c r="A25">
        <f t="shared" si="1"/>
        <v>24</v>
      </c>
      <c r="B25">
        <v>23</v>
      </c>
      <c r="C25">
        <v>24</v>
      </c>
      <c r="D25" s="2">
        <v>6.2601274836380876</v>
      </c>
      <c r="E25" s="2">
        <v>6.0080555854368214</v>
      </c>
      <c r="F25" s="2">
        <v>6.0415321003579558</v>
      </c>
      <c r="G25" t="str">
        <f t="shared" si="0"/>
        <v>Deficiente</v>
      </c>
      <c r="H25" s="3">
        <v>47.9</v>
      </c>
      <c r="I25">
        <v>49000</v>
      </c>
      <c r="J25">
        <v>3468</v>
      </c>
      <c r="K25" t="s">
        <v>14</v>
      </c>
      <c r="L25">
        <v>-12.660743999999999</v>
      </c>
      <c r="M25">
        <v>-74.896066000000005</v>
      </c>
      <c r="N25" t="s">
        <v>15</v>
      </c>
    </row>
    <row r="26" spans="1:14" x14ac:dyDescent="0.25">
      <c r="A26">
        <f t="shared" si="1"/>
        <v>25</v>
      </c>
      <c r="B26">
        <v>24</v>
      </c>
      <c r="C26">
        <v>25</v>
      </c>
      <c r="D26" s="2">
        <v>6.2323807173055803</v>
      </c>
      <c r="E26" s="2">
        <v>5.6630533477762093</v>
      </c>
      <c r="F26" s="2">
        <v>4.9613403603258179</v>
      </c>
      <c r="G26" t="str">
        <f t="shared" si="0"/>
        <v>Deficiente</v>
      </c>
      <c r="H26" s="3">
        <v>47.3</v>
      </c>
      <c r="I26">
        <v>48000</v>
      </c>
      <c r="J26">
        <v>3460</v>
      </c>
      <c r="K26" t="s">
        <v>14</v>
      </c>
      <c r="L26">
        <v>-12.738994999999999</v>
      </c>
      <c r="M26">
        <v>-74.927205999999998</v>
      </c>
      <c r="N26" t="s">
        <v>15</v>
      </c>
    </row>
    <row r="27" spans="1:14" x14ac:dyDescent="0.25">
      <c r="A27">
        <f t="shared" si="1"/>
        <v>26</v>
      </c>
      <c r="B27">
        <v>25</v>
      </c>
      <c r="C27">
        <v>26</v>
      </c>
      <c r="D27" s="2">
        <v>3.2025845226069181</v>
      </c>
      <c r="E27" s="2">
        <v>3.84281489602798</v>
      </c>
      <c r="F27" s="2">
        <v>3.4825751196943551</v>
      </c>
      <c r="G27" t="str">
        <f t="shared" si="0"/>
        <v>Bueno</v>
      </c>
      <c r="H27" s="3">
        <v>50.1</v>
      </c>
      <c r="I27">
        <v>47000</v>
      </c>
      <c r="J27">
        <v>3451</v>
      </c>
      <c r="K27" t="s">
        <v>14</v>
      </c>
      <c r="L27">
        <v>-12.749305</v>
      </c>
      <c r="M27">
        <v>-74.898925000000006</v>
      </c>
      <c r="N27" t="s">
        <v>15</v>
      </c>
    </row>
    <row r="28" spans="1:14" x14ac:dyDescent="0.25">
      <c r="A28">
        <f t="shared" si="1"/>
        <v>27</v>
      </c>
      <c r="B28">
        <v>26</v>
      </c>
      <c r="C28">
        <v>27</v>
      </c>
      <c r="D28" s="2">
        <v>3.6597126730287202</v>
      </c>
      <c r="E28" s="2">
        <v>3.4121289537981081</v>
      </c>
      <c r="F28" s="2">
        <v>3.964142459295779</v>
      </c>
      <c r="G28" t="str">
        <f t="shared" si="0"/>
        <v>Bueno</v>
      </c>
      <c r="H28" s="3">
        <v>44.5</v>
      </c>
      <c r="I28">
        <v>46000</v>
      </c>
      <c r="J28">
        <v>3442</v>
      </c>
      <c r="K28" t="s">
        <v>14</v>
      </c>
      <c r="L28">
        <v>-12.716238000000001</v>
      </c>
      <c r="M28">
        <v>-74.855709000000004</v>
      </c>
      <c r="N28" t="s">
        <v>15</v>
      </c>
    </row>
    <row r="29" spans="1:14" x14ac:dyDescent="0.25">
      <c r="A29">
        <f t="shared" si="1"/>
        <v>28</v>
      </c>
      <c r="B29">
        <v>27</v>
      </c>
      <c r="C29">
        <v>28</v>
      </c>
      <c r="D29" s="2">
        <v>3.174567638608087</v>
      </c>
      <c r="E29" s="2">
        <v>3.0320066938549641</v>
      </c>
      <c r="F29" s="2">
        <v>2.7172109459607068</v>
      </c>
      <c r="G29" t="str">
        <f t="shared" si="0"/>
        <v>Bueno</v>
      </c>
      <c r="H29" s="3">
        <v>59.8</v>
      </c>
      <c r="I29">
        <v>45000</v>
      </c>
      <c r="J29">
        <v>3433</v>
      </c>
      <c r="K29" t="s">
        <v>14</v>
      </c>
      <c r="L29">
        <v>-12.713637</v>
      </c>
      <c r="M29">
        <v>-74.852822000000003</v>
      </c>
      <c r="N29" t="s">
        <v>15</v>
      </c>
    </row>
    <row r="30" spans="1:14" x14ac:dyDescent="0.25">
      <c r="A30">
        <f t="shared" si="1"/>
        <v>29</v>
      </c>
      <c r="B30">
        <v>28</v>
      </c>
      <c r="C30">
        <v>29</v>
      </c>
      <c r="D30" s="2">
        <v>5.9832582793881262</v>
      </c>
      <c r="E30" s="2">
        <v>5.8815074571855384</v>
      </c>
      <c r="F30" s="2">
        <v>6.412828539708487</v>
      </c>
      <c r="G30" t="str">
        <f t="shared" si="0"/>
        <v>Regular</v>
      </c>
      <c r="H30" s="3">
        <v>52.3</v>
      </c>
      <c r="I30">
        <v>44000</v>
      </c>
      <c r="J30">
        <v>3425</v>
      </c>
      <c r="K30" t="s">
        <v>14</v>
      </c>
      <c r="L30">
        <v>-12.719912000000001</v>
      </c>
      <c r="M30">
        <v>-74.921515999999997</v>
      </c>
      <c r="N30" t="s">
        <v>15</v>
      </c>
    </row>
    <row r="31" spans="1:14" x14ac:dyDescent="0.25">
      <c r="A31">
        <f t="shared" si="1"/>
        <v>30</v>
      </c>
      <c r="B31">
        <v>29</v>
      </c>
      <c r="C31">
        <v>30</v>
      </c>
      <c r="D31" s="2">
        <v>2.9580000000000002</v>
      </c>
      <c r="E31" s="2">
        <v>1.311509080129347</v>
      </c>
      <c r="F31" s="2">
        <v>2.168601403261968</v>
      </c>
      <c r="G31" t="str">
        <f t="shared" si="0"/>
        <v>Bueno</v>
      </c>
      <c r="H31" s="3">
        <v>42.1</v>
      </c>
      <c r="I31">
        <v>43000</v>
      </c>
      <c r="J31">
        <v>3416</v>
      </c>
      <c r="K31" t="s">
        <v>14</v>
      </c>
      <c r="L31">
        <v>-12.744852</v>
      </c>
      <c r="M31">
        <v>-74.922134999999997</v>
      </c>
      <c r="N31" t="s">
        <v>15</v>
      </c>
    </row>
    <row r="32" spans="1:14" x14ac:dyDescent="0.25">
      <c r="A32">
        <f t="shared" si="1"/>
        <v>31</v>
      </c>
      <c r="B32">
        <v>30</v>
      </c>
      <c r="C32">
        <v>31</v>
      </c>
      <c r="D32" s="2">
        <v>6.1417803546246352</v>
      </c>
      <c r="E32" s="2">
        <v>6.045449306203281</v>
      </c>
      <c r="F32" s="2">
        <v>5.6860213323189006</v>
      </c>
      <c r="G32" t="str">
        <f t="shared" si="0"/>
        <v>Deficiente</v>
      </c>
      <c r="H32" s="3">
        <v>46.7</v>
      </c>
      <c r="I32">
        <v>42000</v>
      </c>
      <c r="J32">
        <v>3407</v>
      </c>
      <c r="K32" t="s">
        <v>14</v>
      </c>
      <c r="L32">
        <v>-12.701055</v>
      </c>
      <c r="M32">
        <v>-74.851434999999995</v>
      </c>
      <c r="N32" t="s">
        <v>15</v>
      </c>
    </row>
    <row r="33" spans="1:14" x14ac:dyDescent="0.25">
      <c r="A33">
        <f t="shared" si="1"/>
        <v>32</v>
      </c>
      <c r="B33">
        <v>31</v>
      </c>
      <c r="C33">
        <v>32</v>
      </c>
      <c r="D33" s="2">
        <v>2.6338746405589162</v>
      </c>
      <c r="E33" s="2">
        <v>2.1254293979933738</v>
      </c>
      <c r="F33" s="2">
        <v>2.4804224642666188</v>
      </c>
      <c r="G33" t="str">
        <f t="shared" si="0"/>
        <v>Bueno</v>
      </c>
      <c r="H33" s="3">
        <v>60.6</v>
      </c>
      <c r="I33">
        <v>41000</v>
      </c>
      <c r="J33">
        <v>3398</v>
      </c>
      <c r="K33" t="s">
        <v>14</v>
      </c>
      <c r="L33">
        <v>-12.726236</v>
      </c>
      <c r="M33">
        <v>-74.877178000000001</v>
      </c>
      <c r="N33" t="s">
        <v>15</v>
      </c>
    </row>
    <row r="34" spans="1:14" x14ac:dyDescent="0.25">
      <c r="A34">
        <f t="shared" si="1"/>
        <v>33</v>
      </c>
      <c r="B34">
        <v>32</v>
      </c>
      <c r="C34">
        <v>33</v>
      </c>
      <c r="D34" s="2">
        <v>3.6617085647015242</v>
      </c>
      <c r="E34" s="2">
        <v>3.157108080667749</v>
      </c>
      <c r="F34" s="2">
        <v>3.4536867722859479</v>
      </c>
      <c r="G34" t="str">
        <f t="shared" si="0"/>
        <v>Bueno</v>
      </c>
      <c r="H34" s="3">
        <v>47.5</v>
      </c>
      <c r="I34">
        <v>40000</v>
      </c>
      <c r="J34">
        <v>3390</v>
      </c>
      <c r="K34" t="s">
        <v>14</v>
      </c>
      <c r="L34">
        <v>-12.696422999999999</v>
      </c>
      <c r="M34">
        <v>-74.940971000000005</v>
      </c>
      <c r="N34" t="s">
        <v>15</v>
      </c>
    </row>
    <row r="35" spans="1:14" x14ac:dyDescent="0.25">
      <c r="A35">
        <f t="shared" si="1"/>
        <v>34</v>
      </c>
      <c r="B35">
        <v>33</v>
      </c>
      <c r="C35">
        <v>34</v>
      </c>
      <c r="D35" s="2">
        <v>6.3654179432498346</v>
      </c>
      <c r="E35" s="2">
        <v>6.0077399217034184</v>
      </c>
      <c r="F35" s="2">
        <v>5.636797394547429</v>
      </c>
      <c r="G35" t="str">
        <f t="shared" si="0"/>
        <v>Deficiente</v>
      </c>
      <c r="H35" s="3">
        <v>43.8</v>
      </c>
      <c r="I35">
        <v>39000</v>
      </c>
      <c r="J35">
        <v>3381</v>
      </c>
      <c r="K35" t="s">
        <v>14</v>
      </c>
      <c r="L35">
        <v>-12.745922</v>
      </c>
      <c r="M35">
        <v>-74.890911000000003</v>
      </c>
      <c r="N35" t="s">
        <v>15</v>
      </c>
    </row>
    <row r="36" spans="1:14" x14ac:dyDescent="0.25">
      <c r="A36">
        <f t="shared" si="1"/>
        <v>35</v>
      </c>
      <c r="B36">
        <v>34</v>
      </c>
      <c r="C36">
        <v>35</v>
      </c>
      <c r="D36" s="2">
        <v>4.5687453712763064</v>
      </c>
      <c r="E36" s="2">
        <v>4.2776464399330694</v>
      </c>
      <c r="F36" s="2">
        <v>4.2921484603591216</v>
      </c>
      <c r="G36" t="str">
        <f t="shared" si="0"/>
        <v>Regular</v>
      </c>
      <c r="H36" s="3">
        <v>53.1</v>
      </c>
      <c r="I36">
        <v>38000</v>
      </c>
      <c r="J36">
        <v>3372</v>
      </c>
      <c r="K36" t="s">
        <v>14</v>
      </c>
      <c r="L36">
        <v>-12.727349999999999</v>
      </c>
      <c r="M36">
        <v>-74.885482999999994</v>
      </c>
      <c r="N36" t="s">
        <v>15</v>
      </c>
    </row>
    <row r="37" spans="1:14" x14ac:dyDescent="0.25">
      <c r="A37">
        <f t="shared" si="1"/>
        <v>36</v>
      </c>
      <c r="B37">
        <v>35</v>
      </c>
      <c r="C37">
        <v>36</v>
      </c>
      <c r="D37" s="2">
        <v>1.767078211158523</v>
      </c>
      <c r="E37" s="2">
        <v>2.02560008369568</v>
      </c>
      <c r="F37" s="2">
        <v>2.6826236825307741</v>
      </c>
      <c r="G37" t="str">
        <f t="shared" si="0"/>
        <v>Excelente</v>
      </c>
      <c r="H37" s="3">
        <v>50.3</v>
      </c>
      <c r="I37">
        <v>37000</v>
      </c>
      <c r="J37">
        <v>3363</v>
      </c>
      <c r="K37" t="s">
        <v>14</v>
      </c>
      <c r="L37">
        <v>-12.656326999999999</v>
      </c>
      <c r="M37">
        <v>-74.936248000000006</v>
      </c>
      <c r="N37" t="s">
        <v>15</v>
      </c>
    </row>
    <row r="38" spans="1:14" x14ac:dyDescent="0.25">
      <c r="A38">
        <f t="shared" si="1"/>
        <v>37</v>
      </c>
      <c r="B38">
        <v>36</v>
      </c>
      <c r="C38">
        <v>37</v>
      </c>
      <c r="D38" s="2">
        <v>3.6144728990314121</v>
      </c>
      <c r="E38" s="2">
        <v>2.898135329018789</v>
      </c>
      <c r="F38" s="2">
        <v>2.587363117299228</v>
      </c>
      <c r="G38" t="str">
        <f t="shared" si="0"/>
        <v>Bueno</v>
      </c>
      <c r="H38" s="3">
        <v>51.2</v>
      </c>
      <c r="I38">
        <v>36000</v>
      </c>
      <c r="J38">
        <v>3355</v>
      </c>
      <c r="K38" t="s">
        <v>14</v>
      </c>
      <c r="L38">
        <v>-12.662266000000001</v>
      </c>
      <c r="M38">
        <v>-74.924205999999998</v>
      </c>
      <c r="N38" t="s">
        <v>15</v>
      </c>
    </row>
    <row r="39" spans="1:14" x14ac:dyDescent="0.25">
      <c r="A39">
        <f t="shared" si="1"/>
        <v>38</v>
      </c>
      <c r="B39">
        <v>37</v>
      </c>
      <c r="C39">
        <v>38</v>
      </c>
      <c r="D39" s="2">
        <v>4.836493772539848</v>
      </c>
      <c r="E39" s="2">
        <v>4.3393051588884379</v>
      </c>
      <c r="F39" s="2">
        <v>4.6591232513251093</v>
      </c>
      <c r="G39" t="str">
        <f t="shared" si="0"/>
        <v>Regular</v>
      </c>
      <c r="H39" s="3">
        <v>56.7</v>
      </c>
      <c r="I39">
        <v>35000</v>
      </c>
      <c r="J39">
        <v>3346</v>
      </c>
      <c r="K39" t="s">
        <v>14</v>
      </c>
      <c r="L39">
        <v>-12.697035</v>
      </c>
      <c r="M39">
        <v>-74.925815</v>
      </c>
      <c r="N39" t="s">
        <v>15</v>
      </c>
    </row>
    <row r="40" spans="1:14" x14ac:dyDescent="0.25">
      <c r="A40">
        <f t="shared" si="1"/>
        <v>39</v>
      </c>
      <c r="B40">
        <v>38</v>
      </c>
      <c r="C40">
        <v>39</v>
      </c>
      <c r="D40" s="2">
        <v>2.538406919138346</v>
      </c>
      <c r="E40" s="2">
        <v>1.6356895509688489</v>
      </c>
      <c r="F40" s="2">
        <v>2.6375097587428611</v>
      </c>
      <c r="G40" t="str">
        <f t="shared" si="0"/>
        <v>Bueno</v>
      </c>
      <c r="H40" s="3">
        <v>59.2</v>
      </c>
      <c r="I40">
        <v>34000</v>
      </c>
      <c r="J40">
        <v>3337</v>
      </c>
      <c r="K40" t="s">
        <v>14</v>
      </c>
      <c r="L40">
        <v>-12.68669</v>
      </c>
      <c r="M40">
        <v>-74.916096999999993</v>
      </c>
      <c r="N40" t="s">
        <v>15</v>
      </c>
    </row>
    <row r="41" spans="1:14" x14ac:dyDescent="0.25">
      <c r="A41">
        <f t="shared" si="1"/>
        <v>40</v>
      </c>
      <c r="B41">
        <v>39</v>
      </c>
      <c r="C41">
        <v>40</v>
      </c>
      <c r="D41" s="2">
        <v>5.867</v>
      </c>
      <c r="E41" s="2">
        <v>2.9413591720562171</v>
      </c>
      <c r="F41" s="2">
        <v>3.64997645177833</v>
      </c>
      <c r="G41" t="str">
        <f t="shared" si="0"/>
        <v>Regular</v>
      </c>
      <c r="H41" s="3">
        <v>55.1</v>
      </c>
      <c r="I41">
        <v>33000</v>
      </c>
      <c r="J41">
        <v>3328</v>
      </c>
      <c r="K41" t="s">
        <v>14</v>
      </c>
      <c r="L41">
        <v>-12.661291</v>
      </c>
      <c r="M41">
        <v>-74.872011999999998</v>
      </c>
      <c r="N41" t="s">
        <v>15</v>
      </c>
    </row>
    <row r="42" spans="1:14" x14ac:dyDescent="0.25">
      <c r="A42">
        <f t="shared" si="1"/>
        <v>41</v>
      </c>
      <c r="B42">
        <v>40</v>
      </c>
      <c r="C42">
        <v>41</v>
      </c>
      <c r="D42" s="2">
        <v>5.2629581347687902</v>
      </c>
      <c r="E42" s="2">
        <v>4.4396881280558151</v>
      </c>
      <c r="F42" s="2">
        <v>5.2194310026124544</v>
      </c>
      <c r="G42" t="str">
        <f t="shared" si="0"/>
        <v>Regular</v>
      </c>
      <c r="H42" s="3">
        <v>43.4</v>
      </c>
      <c r="I42">
        <v>32000</v>
      </c>
      <c r="J42">
        <v>3320</v>
      </c>
      <c r="K42" t="s">
        <v>14</v>
      </c>
      <c r="L42">
        <v>-12.660145</v>
      </c>
      <c r="M42">
        <v>-74.889357000000004</v>
      </c>
      <c r="N42" t="s">
        <v>15</v>
      </c>
    </row>
    <row r="43" spans="1:14" x14ac:dyDescent="0.25">
      <c r="A43">
        <f t="shared" si="1"/>
        <v>42</v>
      </c>
      <c r="B43">
        <v>41</v>
      </c>
      <c r="C43">
        <v>42</v>
      </c>
      <c r="D43" s="2">
        <v>2.9009999999999998</v>
      </c>
      <c r="E43" s="2">
        <v>1.2984692452724931</v>
      </c>
      <c r="F43" s="2">
        <v>1.7810834897226491</v>
      </c>
      <c r="G43" t="str">
        <f t="shared" si="0"/>
        <v>Bueno</v>
      </c>
      <c r="H43" s="3">
        <v>58.9</v>
      </c>
      <c r="I43">
        <v>31000</v>
      </c>
      <c r="J43">
        <v>3311</v>
      </c>
      <c r="K43" t="s">
        <v>14</v>
      </c>
      <c r="L43">
        <v>-12.749494</v>
      </c>
      <c r="M43">
        <v>-74.933919000000003</v>
      </c>
      <c r="N43" t="s">
        <v>15</v>
      </c>
    </row>
    <row r="44" spans="1:14" x14ac:dyDescent="0.25">
      <c r="A44">
        <f t="shared" si="1"/>
        <v>43</v>
      </c>
      <c r="B44">
        <v>42</v>
      </c>
      <c r="C44">
        <v>43</v>
      </c>
      <c r="D44" s="2">
        <v>3.9623032016149771</v>
      </c>
      <c r="E44" s="2">
        <v>3.849546069157693</v>
      </c>
      <c r="F44" s="2">
        <v>4.0828975670249239</v>
      </c>
      <c r="G44" t="str">
        <f t="shared" si="0"/>
        <v>Bueno</v>
      </c>
      <c r="H44" s="3">
        <v>47.6</v>
      </c>
      <c r="I44">
        <v>30000</v>
      </c>
      <c r="J44">
        <v>3302</v>
      </c>
      <c r="K44" t="s">
        <v>14</v>
      </c>
      <c r="L44">
        <v>-12.727573</v>
      </c>
      <c r="M44">
        <v>-74.878782000000001</v>
      </c>
      <c r="N44" t="s">
        <v>15</v>
      </c>
    </row>
    <row r="45" spans="1:14" x14ac:dyDescent="0.25">
      <c r="A45">
        <f t="shared" si="1"/>
        <v>44</v>
      </c>
      <c r="B45">
        <v>43</v>
      </c>
      <c r="C45">
        <v>44</v>
      </c>
      <c r="D45" s="2">
        <v>3.3082517015677801</v>
      </c>
      <c r="E45" s="2">
        <v>2.5564574616055742</v>
      </c>
      <c r="F45" s="2">
        <v>2.530121595477814</v>
      </c>
      <c r="G45" t="str">
        <f t="shared" si="0"/>
        <v>Bueno</v>
      </c>
      <c r="H45" s="3">
        <v>59.1</v>
      </c>
      <c r="I45">
        <v>29000</v>
      </c>
      <c r="J45">
        <v>3293</v>
      </c>
      <c r="K45" t="s">
        <v>14</v>
      </c>
      <c r="L45">
        <v>-12.685036999999999</v>
      </c>
      <c r="M45">
        <v>-74.865077999999997</v>
      </c>
      <c r="N45" t="s">
        <v>15</v>
      </c>
    </row>
    <row r="46" spans="1:14" x14ac:dyDescent="0.25">
      <c r="A46">
        <f t="shared" si="1"/>
        <v>45</v>
      </c>
      <c r="B46">
        <v>44</v>
      </c>
      <c r="C46">
        <v>45</v>
      </c>
      <c r="D46" s="2">
        <v>4.1062557509409716</v>
      </c>
      <c r="E46" s="2">
        <v>4.3910518390865514</v>
      </c>
      <c r="F46" s="2">
        <v>4.5422339811513748</v>
      </c>
      <c r="G46" t="str">
        <f t="shared" si="0"/>
        <v>Regular</v>
      </c>
      <c r="H46" s="3">
        <v>42.4</v>
      </c>
      <c r="I46">
        <v>28000</v>
      </c>
      <c r="J46">
        <v>3285</v>
      </c>
      <c r="K46" t="s">
        <v>14</v>
      </c>
      <c r="L46">
        <v>-12.713228000000001</v>
      </c>
      <c r="M46">
        <v>-74.923479999999998</v>
      </c>
      <c r="N46" t="s">
        <v>15</v>
      </c>
    </row>
    <row r="47" spans="1:14" x14ac:dyDescent="0.25">
      <c r="A47">
        <f t="shared" si="1"/>
        <v>46</v>
      </c>
      <c r="B47">
        <v>45</v>
      </c>
      <c r="C47">
        <v>46</v>
      </c>
      <c r="D47" s="2">
        <v>4.069</v>
      </c>
      <c r="E47" s="2">
        <v>3.253785621981617</v>
      </c>
      <c r="F47" s="2">
        <v>3.4169640756905522</v>
      </c>
      <c r="G47" t="str">
        <f t="shared" si="0"/>
        <v>Regular</v>
      </c>
      <c r="H47" s="3">
        <v>41.7</v>
      </c>
      <c r="I47">
        <v>27000</v>
      </c>
      <c r="J47">
        <v>3276</v>
      </c>
      <c r="K47" t="s">
        <v>14</v>
      </c>
      <c r="L47">
        <v>-12.660795</v>
      </c>
      <c r="M47">
        <v>-74.886886000000004</v>
      </c>
      <c r="N47" t="s">
        <v>15</v>
      </c>
    </row>
    <row r="48" spans="1:14" x14ac:dyDescent="0.25">
      <c r="A48">
        <f t="shared" si="1"/>
        <v>47</v>
      </c>
      <c r="B48">
        <v>46</v>
      </c>
      <c r="C48">
        <v>47</v>
      </c>
      <c r="D48" s="2">
        <v>5.6150131348533261</v>
      </c>
      <c r="E48" s="2">
        <v>5.0634142461361256</v>
      </c>
      <c r="F48" s="2">
        <v>5.3066968288992467</v>
      </c>
      <c r="G48" t="str">
        <f t="shared" si="0"/>
        <v>Regular</v>
      </c>
      <c r="H48" s="3">
        <v>52.6</v>
      </c>
      <c r="I48">
        <v>26000</v>
      </c>
      <c r="J48">
        <v>3267</v>
      </c>
      <c r="K48" t="s">
        <v>14</v>
      </c>
      <c r="L48">
        <v>-12.700748000000001</v>
      </c>
      <c r="M48">
        <v>-74.930475999999999</v>
      </c>
      <c r="N48" t="s">
        <v>15</v>
      </c>
    </row>
    <row r="49" spans="1:14" x14ac:dyDescent="0.25">
      <c r="A49">
        <f t="shared" si="1"/>
        <v>48</v>
      </c>
      <c r="B49">
        <v>47</v>
      </c>
      <c r="C49">
        <v>48</v>
      </c>
      <c r="D49" s="2">
        <v>4.6071647904607467</v>
      </c>
      <c r="E49" s="2">
        <v>4.7209826691798042</v>
      </c>
      <c r="F49" s="2">
        <v>4.6663545854275403</v>
      </c>
      <c r="G49" t="str">
        <f t="shared" si="0"/>
        <v>Regular</v>
      </c>
      <c r="H49" s="3">
        <v>40.700000000000003</v>
      </c>
      <c r="I49">
        <v>25000</v>
      </c>
      <c r="J49">
        <v>3258</v>
      </c>
      <c r="K49" t="s">
        <v>14</v>
      </c>
      <c r="L49">
        <v>-12.685453000000001</v>
      </c>
      <c r="M49">
        <v>-74.932288999999997</v>
      </c>
      <c r="N49" t="s">
        <v>15</v>
      </c>
    </row>
    <row r="50" spans="1:14" x14ac:dyDescent="0.25">
      <c r="A50">
        <f t="shared" si="1"/>
        <v>49</v>
      </c>
      <c r="B50">
        <v>48</v>
      </c>
      <c r="C50">
        <v>49</v>
      </c>
      <c r="D50" s="2">
        <v>5.8297179874949672</v>
      </c>
      <c r="E50" s="2">
        <v>6.3775403799279733</v>
      </c>
      <c r="F50" s="2">
        <v>5.8915078919199093</v>
      </c>
      <c r="G50" t="str">
        <f t="shared" si="0"/>
        <v>Regular</v>
      </c>
      <c r="H50" s="3">
        <v>53.8</v>
      </c>
      <c r="I50">
        <v>24000</v>
      </c>
      <c r="J50">
        <v>3250</v>
      </c>
      <c r="K50" t="s">
        <v>14</v>
      </c>
      <c r="L50">
        <v>-12.712984000000001</v>
      </c>
      <c r="M50">
        <v>-74.948453999999998</v>
      </c>
      <c r="N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GH</dc:creator>
  <cp:lastModifiedBy>Rick GH</cp:lastModifiedBy>
  <dcterms:created xsi:type="dcterms:W3CDTF">2025-11-12T18:31:43Z</dcterms:created>
  <dcterms:modified xsi:type="dcterms:W3CDTF">2025-11-25T15:18:04Z</dcterms:modified>
</cp:coreProperties>
</file>